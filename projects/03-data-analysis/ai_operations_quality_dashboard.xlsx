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5fe61188f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Data" sheetId="1" r:id="Rab1acdf29d3947c8"/>
    <x:sheet xmlns:r="http://schemas.openxmlformats.org/officeDocument/2006/relationships" name="Dashboard" sheetId="2" r:id="Rd600789c325b4bc1"/>
    <x:sheet xmlns:r="http://schemas.openxmlformats.org/officeDocument/2006/relationships" name="KPI Definitions" sheetId="3" r:id="Rdb23d1e38ebe419d"/>
    <x:sheet xmlns:r="http://schemas.openxmlformats.org/officeDocument/2006/relationships" name="Notes &amp; Sources" sheetId="4" r:id="R6fd0ec54972049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.0"/>
    <x:numFmt numFmtId="203" formatCode="0.0%"/>
    <x:numFmt numFmtId="204" formatCode="0.00"/>
  </x:numFmts>
  <x:fonts count="33">
    <x:font>
      <x:sz val="11"/>
      <x:name val="Carlito"/>
    </x:font>
    <x:font>
      <x:b/>
      <x:sz val="10"/>
      <x:color rgb="FFFFFFFF"/>
      <x:name val="Carlito"/>
    </x:font>
    <x:font>
      <x:sz val="9"/>
      <x:color rgb="FF243447"/>
      <x:name val="Carlito"/>
    </x:font>
    <x:font>
      <x:b/>
      <x:sz val="20"/>
      <x:color rgb="FFFFFFFF"/>
      <x:name val="Carlito"/>
    </x:font>
    <x:font>
      <x:i/>
      <x:sz val="10"/>
      <x:color rgb="FF5B6573"/>
      <x:name val="Carlito"/>
    </x:font>
    <x:font>
      <x:b/>
      <x:sz val="10"/>
      <x:color rgb="FF17365D"/>
      <x:name val="Carlito"/>
    </x:font>
    <x:font>
      <x:b/>
      <x:sz val="22"/>
      <x:color rgb="FF17365D"/>
      <x:name val="Carlito"/>
    </x:font>
    <x:font>
      <x:b/>
      <x:sz val="10"/>
      <x:color rgb="FF0F766E"/>
      <x:name val="Carlito"/>
    </x:font>
    <x:font>
      <x:b/>
      <x:sz val="22"/>
      <x:color rgb="FF0F766E"/>
      <x:name val="Carlito"/>
    </x:font>
    <x:font>
      <x:b/>
      <x:sz val="10"/>
      <x:color rgb="FF2E7D32"/>
      <x:name val="Carlito"/>
    </x:font>
    <x:font>
      <x:b/>
      <x:sz val="22"/>
      <x:color rgb="FF2E7D32"/>
      <x:name val="Carlito"/>
    </x:font>
    <x:font>
      <x:b/>
      <x:sz val="10"/>
      <x:color rgb="FF9C5700"/>
      <x:name val="Carlito"/>
    </x:font>
    <x:font>
      <x:b/>
      <x:sz val="22"/>
      <x:color rgb="FF9C5700"/>
      <x:name val="Carlito"/>
    </x:font>
    <x:font>
      <x:b/>
      <x:sz val="11"/>
      <x:color rgb="FFFFFFFF"/>
      <x:name val="Carlito"/>
    </x:font>
    <x:font>
      <x:b/>
      <x:sz val="20"/>
      <x:color rgb="FFFFFFFF"/>
      <x:name val="Aptos"/>
    </x:font>
    <x:font>
      <x:i/>
      <x:sz val="10"/>
      <x:color rgb="FF5B6573"/>
      <x:name val="Aptos"/>
    </x:font>
    <x:font>
      <x:sz val="11"/>
      <x:name val="Aptos"/>
    </x:font>
    <x:font>
      <x:b/>
      <x:sz val="10"/>
      <x:color rgb="FF17365D"/>
      <x:name val="Aptos"/>
    </x:font>
    <x:font>
      <x:b/>
      <x:sz val="10"/>
      <x:color rgb="FF0F766E"/>
      <x:name val="Aptos"/>
    </x:font>
    <x:font>
      <x:b/>
      <x:sz val="10"/>
      <x:color rgb="FF2E7D32"/>
      <x:name val="Aptos"/>
    </x:font>
    <x:font>
      <x:b/>
      <x:sz val="10"/>
      <x:color rgb="FF9C5700"/>
      <x:name val="Aptos"/>
    </x:font>
    <x:font>
      <x:b/>
      <x:sz val="22"/>
      <x:color rgb="FF17365D"/>
      <x:name val="Aptos"/>
    </x:font>
    <x:font>
      <x:b/>
      <x:sz val="22"/>
      <x:color rgb="FF0F766E"/>
      <x:name val="Aptos"/>
    </x:font>
    <x:font>
      <x:b/>
      <x:sz val="22"/>
      <x:color rgb="FF2E7D32"/>
      <x:name val="Aptos"/>
    </x:font>
    <x:font>
      <x:b/>
      <x:sz val="22"/>
      <x:color rgb="FF9C5700"/>
      <x:name val="Aptos"/>
    </x:font>
    <x:font>
      <x:b/>
      <x:sz val="10"/>
      <x:color rgb="FFFFFFFF"/>
      <x:name val="Aptos"/>
    </x:font>
    <x:font>
      <x:b/>
      <x:sz val="11"/>
      <x:color rgb="FFFFFFFF"/>
      <x:name val="Aptos"/>
    </x:font>
    <x:font>
      <x:sz val="9"/>
      <x:color rgb="FF243447"/>
      <x:name val="Aptos"/>
    </x:font>
    <x:font>
      <x:b/>
      <x:sz val="18"/>
      <x:color rgb="FFFFFFFF"/>
      <x:name val="Carlito"/>
    </x:font>
    <x:font>
      <x:sz val="10"/>
      <x:color rgb="FF243447"/>
      <x:name val="Carlito"/>
    </x:font>
    <x:font>
      <x:i/>
      <x:sz val="11"/>
      <x:color rgb="FF7F6000"/>
      <x:name val="Carlito"/>
    </x:font>
    <x:font>
      <x:b/>
      <x:sz val="11"/>
      <x:color rgb="FF17365D"/>
      <x:name val="Carlito"/>
    </x:font>
    <x:font>
      <x:sz val="11"/>
      <x:color rgb="FF2434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E7F5F2"/>
      </x:patternFill>
    </x:fill>
    <x:fill>
      <x:patternFill patternType="solid">
        <x:fgColor rgb="FFEAF4E3"/>
      </x:patternFill>
    </x:fill>
    <x:fill>
      <x:patternFill patternType="solid">
        <x:fgColor rgb="FFFFF4E5"/>
      </x:patternFill>
    </x:fill>
    <x:fill>
      <x:patternFill patternType="solid">
        <x:fgColor rgb="FF2F75B5"/>
      </x:patternFill>
    </x:fill>
    <x:fill>
      <x:patternFill patternType="solid">
        <x:fgColor rgb="FF0F766E"/>
      </x:patternFill>
    </x:fill>
  </x:fills>
  <x:borders count="90">
    <x:border/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medium">
        <x:color rgb="FF17365D"/>
      </x:left>
      <x:top style="medium">
        <x:color rgb="FF17365D"/>
      </x:top>
      <x:bottom style="thin">
        <x:color rgb="FFE6E9ED"/>
      </x:bottom>
    </x:border>
    <x:border>
      <x:top style="medium">
        <x:color rgb="FF17365D"/>
      </x:top>
      <x:bottom style="thin">
        <x:color rgb="FFE6E9ED"/>
      </x:bottom>
    </x:border>
    <x:border>
      <x:left style="medium">
        <x:color rgb="FF17365D"/>
      </x:left>
      <x:top style="thin">
        <x:color rgb="FFE6E9ED"/>
      </x:top>
      <x:bottom style="thin">
        <x:color rgb="FFE6E9ED"/>
      </x:bottom>
    </x:border>
    <x:border>
      <x:top style="thin">
        <x:color rgb="FFE6E9ED"/>
      </x:top>
      <x:bottom style="thin">
        <x:color rgb="FFE6E9ED"/>
      </x:bottom>
    </x:border>
    <x:border>
      <x:left style="medium">
        <x:color rgb="FF17365D"/>
      </x:left>
      <x:top style="medium">
        <x:color rgb="FF17365D"/>
      </x:top>
      <x:bottom style="thin">
        <x:color rgb="FFE6E9ED"/>
      </x:bottom>
    </x:border>
    <x:border>
      <x:top style="medium">
        <x:color rgb="FF17365D"/>
      </x:top>
      <x:bottom style="thin">
        <x:color rgb="FFE6E9ED"/>
      </x:bottom>
    </x:border>
    <x:border>
      <x:left style="medium">
        <x:color rgb="FF17365D"/>
      </x:left>
      <x:top style="thin">
        <x:color rgb="FFE6E9ED"/>
      </x:top>
      <x:bottom style="thin">
        <x:color rgb="FFE6E9ED"/>
      </x:bottom>
    </x:border>
    <x:border>
      <x:top style="thin">
        <x:color rgb="FFE6E9ED"/>
      </x:top>
      <x:bottom style="thin">
        <x:color rgb="FFE6E9E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</x:border>
    <x:border>
      <x:top style="thin">
        <x:color rgb="FF17365D"/>
      </x:top>
    </x:border>
    <x:border>
      <x:right style="thin">
        <x:color rgb="FF17365D"/>
      </x:right>
      <x:top style="thin">
        <x:color rgb="FF17365D"/>
      </x:top>
    </x:border>
    <x:border>
      <x:left style="thin">
        <x:color rgb="FF17365D"/>
      </x:left>
      <x:bottom style="thin">
        <x:color rgb="FF17365D"/>
      </x:bottom>
    </x:border>
    <x:border>
      <x:bottom style="thin">
        <x:color rgb="FF17365D"/>
      </x:bottom>
    </x:border>
    <x:border>
      <x:right style="thin">
        <x:color rgb="FF17365D"/>
      </x:right>
      <x:bottom style="thin">
        <x:color rgb="FF17365D"/>
      </x:bottom>
    </x:border>
    <x:border>
      <x:left style="thin">
        <x:color rgb="FF17365D"/>
      </x:left>
      <x:top style="thin">
        <x:color rgb="FF17365D"/>
      </x:top>
    </x:border>
    <x:border>
      <x:top style="thin">
        <x:color rgb="FF17365D"/>
      </x:top>
    </x:border>
    <x:border>
      <x:right style="thin">
        <x:color rgb="FF17365D"/>
      </x:right>
      <x:top style="thin">
        <x:color rgb="FF17365D"/>
      </x:top>
    </x:border>
    <x:border>
      <x:left style="thin">
        <x:color rgb="FF17365D"/>
      </x:left>
      <x:bottom style="thin">
        <x:color rgb="FF17365D"/>
      </x:bottom>
    </x:border>
    <x:border>
      <x:bottom style="thin">
        <x:color rgb="FF17365D"/>
      </x:bottom>
    </x:border>
    <x:border>
      <x:right style="thin">
        <x:color rgb="FF17365D"/>
      </x:right>
      <x:bottom style="thin">
        <x:color rgb="FF17365D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0F766E"/>
      </x:left>
      <x:top style="thin">
        <x:color rgb="FF0F766E"/>
      </x:top>
    </x:border>
    <x:border>
      <x:top style="thin">
        <x:color rgb="FF0F766E"/>
      </x:top>
    </x:border>
    <x:border>
      <x:right style="thin">
        <x:color rgb="FF0F766E"/>
      </x:right>
      <x:top style="thin">
        <x:color rgb="FF0F766E"/>
      </x:top>
    </x:border>
    <x:border>
      <x:left style="thin">
        <x:color rgb="FF0F766E"/>
      </x:left>
      <x:bottom style="thin">
        <x:color rgb="FF0F766E"/>
      </x:bottom>
    </x:border>
    <x:border>
      <x:bottom style="thin">
        <x:color rgb="FF0F766E"/>
      </x:bottom>
    </x:border>
    <x:border>
      <x:right style="thin">
        <x:color rgb="FF0F766E"/>
      </x:right>
      <x:bottom style="thin">
        <x:color rgb="FF0F766E"/>
      </x:bottom>
    </x:border>
    <x:border>
      <x:left style="thin">
        <x:color rgb="FF0F766E"/>
      </x:left>
      <x:top style="thin">
        <x:color rgb="FF0F766E"/>
      </x:top>
    </x:border>
    <x:border>
      <x:top style="thin">
        <x:color rgb="FF0F766E"/>
      </x:top>
    </x:border>
    <x:border>
      <x:right style="thin">
        <x:color rgb="FF0F766E"/>
      </x:right>
      <x:top style="thin">
        <x:color rgb="FF0F766E"/>
      </x:top>
    </x:border>
    <x:border>
      <x:left style="thin">
        <x:color rgb="FF0F766E"/>
      </x:left>
      <x:bottom style="thin">
        <x:color rgb="FF0F766E"/>
      </x:bottom>
    </x:border>
    <x:border>
      <x:bottom style="thin">
        <x:color rgb="FF0F766E"/>
      </x:bottom>
    </x:border>
    <x:border>
      <x:right style="thin">
        <x:color rgb="FF0F766E"/>
      </x:right>
      <x:bottom style="thin">
        <x:color rgb="FF0F766E"/>
      </x:bottom>
    </x:border>
    <x:border>
      <x:left style="thin">
        <x:color rgb="FF2E7D32"/>
      </x:left>
      <x:top style="thin">
        <x:color rgb="FF2E7D32"/>
      </x:top>
      <x:bottom style="thin">
        <x:color rgb="FF2E7D32"/>
      </x:bottom>
    </x:border>
    <x:border>
      <x:top style="thin">
        <x:color rgb="FF2E7D32"/>
      </x:top>
      <x:bottom style="thin">
        <x:color rgb="FF2E7D32"/>
      </x:bottom>
    </x:border>
    <x:border>
      <x:right style="thin">
        <x:color rgb="FF2E7D32"/>
      </x:right>
      <x:top style="thin">
        <x:color rgb="FF2E7D32"/>
      </x:top>
      <x:bottom style="thin">
        <x:color rgb="FF2E7D32"/>
      </x:bottom>
    </x:border>
    <x:border>
      <x:left style="thin">
        <x:color rgb="FF2E7D32"/>
      </x:left>
      <x:top style="thin">
        <x:color rgb="FF2E7D32"/>
      </x:top>
      <x:bottom style="thin">
        <x:color rgb="FF2E7D32"/>
      </x:bottom>
    </x:border>
    <x:border>
      <x:top style="thin">
        <x:color rgb="FF2E7D32"/>
      </x:top>
      <x:bottom style="thin">
        <x:color rgb="FF2E7D32"/>
      </x:bottom>
    </x:border>
    <x:border>
      <x:right style="thin">
        <x:color rgb="FF2E7D32"/>
      </x:right>
      <x:top style="thin">
        <x:color rgb="FF2E7D32"/>
      </x:top>
      <x:bottom style="thin">
        <x:color rgb="FF2E7D32"/>
      </x:bottom>
    </x:border>
    <x:border>
      <x:left style="thin">
        <x:color rgb="FF2E7D32"/>
      </x:left>
      <x:top style="thin">
        <x:color rgb="FF2E7D32"/>
      </x:top>
    </x:border>
    <x:border>
      <x:top style="thin">
        <x:color rgb="FF2E7D32"/>
      </x:top>
    </x:border>
    <x:border>
      <x:right style="thin">
        <x:color rgb="FF2E7D32"/>
      </x:right>
      <x:top style="thin">
        <x:color rgb="FF2E7D32"/>
      </x:top>
    </x:border>
    <x:border>
      <x:left style="thin">
        <x:color rgb="FF2E7D32"/>
      </x:left>
      <x:bottom style="thin">
        <x:color rgb="FF2E7D32"/>
      </x:bottom>
    </x:border>
    <x:border>
      <x:bottom style="thin">
        <x:color rgb="FF2E7D32"/>
      </x:bottom>
    </x:border>
    <x:border>
      <x:right style="thin">
        <x:color rgb="FF2E7D32"/>
      </x:right>
      <x:bottom style="thin">
        <x:color rgb="FF2E7D32"/>
      </x:bottom>
    </x:border>
    <x:border>
      <x:left style="thin">
        <x:color rgb="FF2E7D32"/>
      </x:left>
      <x:top style="thin">
        <x:color rgb="FF2E7D32"/>
      </x:top>
    </x:border>
    <x:border>
      <x:top style="thin">
        <x:color rgb="FF2E7D32"/>
      </x:top>
    </x:border>
    <x:border>
      <x:right style="thin">
        <x:color rgb="FF2E7D32"/>
      </x:right>
      <x:top style="thin">
        <x:color rgb="FF2E7D32"/>
      </x:top>
    </x:border>
    <x:border>
      <x:left style="thin">
        <x:color rgb="FF2E7D32"/>
      </x:left>
      <x:bottom style="thin">
        <x:color rgb="FF2E7D32"/>
      </x:bottom>
    </x:border>
    <x:border>
      <x:bottom style="thin">
        <x:color rgb="FF2E7D32"/>
      </x:bottom>
    </x:border>
    <x:border>
      <x:right style="thin">
        <x:color rgb="FF2E7D32"/>
      </x:right>
      <x:bottom style="thin">
        <x:color rgb="FF2E7D32"/>
      </x:bottom>
    </x:border>
    <x:border>
      <x:left style="thin">
        <x:color rgb="FF9C5700"/>
      </x:left>
      <x:top style="thin">
        <x:color rgb="FF9C5700"/>
      </x:top>
      <x:bottom style="thin">
        <x:color rgb="FF9C5700"/>
      </x:bottom>
    </x:border>
    <x:border>
      <x:top style="thin">
        <x:color rgb="FF9C5700"/>
      </x:top>
      <x:bottom style="thin">
        <x:color rgb="FF9C5700"/>
      </x:bottom>
    </x:border>
    <x:border>
      <x:right style="thin">
        <x:color rgb="FF9C5700"/>
      </x:right>
      <x:top style="thin">
        <x:color rgb="FF9C5700"/>
      </x:top>
      <x:bottom style="thin">
        <x:color rgb="FF9C5700"/>
      </x:bottom>
    </x:border>
    <x:border>
      <x:left style="thin">
        <x:color rgb="FF9C5700"/>
      </x:left>
      <x:top style="thin">
        <x:color rgb="FF9C5700"/>
      </x:top>
      <x:bottom style="thin">
        <x:color rgb="FF9C5700"/>
      </x:bottom>
    </x:border>
    <x:border>
      <x:top style="thin">
        <x:color rgb="FF9C5700"/>
      </x:top>
      <x:bottom style="thin">
        <x:color rgb="FF9C5700"/>
      </x:bottom>
    </x:border>
    <x:border>
      <x:right style="thin">
        <x:color rgb="FF9C5700"/>
      </x:right>
      <x:top style="thin">
        <x:color rgb="FF9C5700"/>
      </x:top>
      <x:bottom style="thin">
        <x:color rgb="FF9C5700"/>
      </x:bottom>
    </x:border>
    <x:border>
      <x:left style="thin">
        <x:color rgb="FF9C5700"/>
      </x:left>
      <x:top style="thin">
        <x:color rgb="FF9C5700"/>
      </x:top>
    </x:border>
    <x:border>
      <x:top style="thin">
        <x:color rgb="FF9C5700"/>
      </x:top>
    </x:border>
    <x:border>
      <x:right style="thin">
        <x:color rgb="FF9C5700"/>
      </x:right>
      <x:top style="thin">
        <x:color rgb="FF9C5700"/>
      </x:top>
    </x:border>
    <x:border>
      <x:left style="thin">
        <x:color rgb="FF9C5700"/>
      </x:left>
      <x:bottom style="thin">
        <x:color rgb="FF9C5700"/>
      </x:bottom>
    </x:border>
    <x:border>
      <x:bottom style="thin">
        <x:color rgb="FF9C5700"/>
      </x:bottom>
    </x:border>
    <x:border>
      <x:right style="thin">
        <x:color rgb="FF9C5700"/>
      </x:right>
      <x:bottom style="thin">
        <x:color rgb="FF9C5700"/>
      </x:bottom>
    </x:border>
    <x:border>
      <x:left style="thin">
        <x:color rgb="FF9C5700"/>
      </x:left>
      <x:top style="thin">
        <x:color rgb="FF9C5700"/>
      </x:top>
    </x:border>
    <x:border>
      <x:top style="thin">
        <x:color rgb="FF9C5700"/>
      </x:top>
    </x:border>
    <x:border>
      <x:right style="thin">
        <x:color rgb="FF9C5700"/>
      </x:right>
      <x:top style="thin">
        <x:color rgb="FF9C5700"/>
      </x:top>
    </x:border>
    <x:border>
      <x:left style="thin">
        <x:color rgb="FF9C5700"/>
      </x:left>
      <x:bottom style="thin">
        <x:color rgb="FF9C5700"/>
      </x:bottom>
    </x:border>
    <x:border>
      <x:bottom style="thin">
        <x:color rgb="FF9C5700"/>
      </x:bottom>
    </x:border>
    <x:border>
      <x:right style="thin">
        <x:color rgb="FF9C5700"/>
      </x:right>
      <x:bottom style="thin">
        <x:color rgb="FF9C5700"/>
      </x:bottom>
    </x:border>
    <x:border>
      <x:bottom style="thin">
        <x:color rgb="FFE6E9ED"/>
      </x:bottom>
    </x:border>
    <x:border>
      <x:bottom style="thin">
        <x:color rgb="FFE6E9ED"/>
      </x:bottom>
    </x:border>
  </x:borders>
  <x:cellStyleXfs count="1">
    <x:xf numFmtId="0" fontId="0" fillId="0" borderId="0"/>
  </x:cellStyleXfs>
  <x:cellXfs count="5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2" fontId="2" fillId="0" borderId="0" xfId="0" applyNumberFormat="1" applyFont="1" applyFill="1" applyBorder="1"/>
    <x:xf numFmtId="202" fontId="2" fillId="0" borderId="1" xfId="0" applyNumberFormat="1" applyFont="1" applyFill="1" applyBorder="1"/>
    <x:xf numFmtId="203" fontId="2" fillId="0" borderId="0" xfId="0" applyNumberFormat="1" applyFont="1" applyFill="1" applyBorder="1"/>
    <x:xf numFmtId="203" fontId="2" fillId="0" borderId="1" xfId="0" applyNumberFormat="1" applyFont="1" applyFill="1" applyBorder="1"/>
    <x:xf numFmtId="204" fontId="2" fillId="0" borderId="0" xfId="0" applyNumberFormat="1" applyFont="1" applyFill="1" applyBorder="1"/>
    <x:xf numFmtId="204" fontId="2" fillId="0" borderId="1" xfId="0" applyNumberFormat="1" applyFont="1" applyFill="1" applyBorder="1"/>
    <x:xf numFmtId="0" fontId="1" fillId="2" borderId="8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 applyAlignment="1">
      <x:alignment vertical="center" wrapText="1"/>
    </x:xf>
    <x:xf numFmtId="200" fontId="2" fillId="0" borderId="10" xfId="0" applyNumberFormat="1" applyFont="1" applyFill="1" applyBorder="1"/>
    <x:xf numFmtId="0" fontId="2" fillId="0" borderId="11" xfId="0" applyNumberFormat="1" applyFont="1" applyFill="1" applyBorder="1"/>
    <x:xf numFmtId="201" fontId="2" fillId="0" borderId="11" xfId="0" applyNumberFormat="1" applyFont="1" applyFill="1" applyBorder="1"/>
    <x:xf numFmtId="202" fontId="2" fillId="0" borderId="11" xfId="0" applyNumberFormat="1" applyFont="1" applyFill="1" applyBorder="1"/>
    <x:xf numFmtId="203" fontId="2" fillId="0" borderId="11" xfId="0" applyNumberFormat="1" applyFont="1" applyFill="1" applyBorder="1"/>
    <x:xf numFmtId="204" fontId="2" fillId="0" borderId="11" xfId="0" applyNumberFormat="1" applyFont="1" applyFill="1" applyBorder="1"/>
    <x:xf numFmtId="0" fontId="1" fillId="2" borderId="12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vertical="center" wrapText="1"/>
    </x:xf>
    <x:xf numFmtId="200" fontId="2" fillId="0" borderId="14" xfId="0" applyNumberFormat="1" applyFont="1" applyFill="1" applyBorder="1"/>
    <x:xf numFmtId="0" fontId="2" fillId="0" borderId="15" xfId="0" applyNumberFormat="1" applyFont="1" applyFill="1" applyBorder="1"/>
    <x:xf numFmtId="201" fontId="2" fillId="0" borderId="15" xfId="0" applyNumberFormat="1" applyFont="1" applyFill="1" applyBorder="1"/>
    <x:xf numFmtId="202" fontId="2" fillId="0" borderId="15" xfId="0" applyNumberFormat="1" applyFont="1" applyFill="1" applyBorder="1"/>
    <x:xf numFmtId="203" fontId="2" fillId="0" borderId="15" xfId="0" applyNumberFormat="1" applyFont="1" applyFill="1" applyBorder="1"/>
    <x:xf numFmtId="204" fontId="2" fillId="0" borderId="15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6" xfId="0" applyNumberFormat="1" applyFont="1" applyFill="1" applyBorder="1"/>
    <x:xf numFmtId="0" fontId="5" fillId="3" borderId="17" xfId="0" applyNumberFormat="1" applyFont="1" applyFill="1" applyBorder="1"/>
    <x:xf numFmtId="0" fontId="5" fillId="3" borderId="18" xfId="0" applyNumberFormat="1" applyFont="1" applyFill="1" applyBorder="1"/>
    <x:xf numFmtId="0" fontId="5" fillId="3" borderId="19" xfId="0" applyNumberFormat="1" applyFont="1" applyFill="1" applyBorder="1"/>
    <x:xf numFmtId="0" fontId="5" fillId="3" borderId="20" xfId="0" applyNumberFormat="1" applyFont="1" applyFill="1" applyBorder="1"/>
    <x:xf numFmtId="0" fontId="5" fillId="3" borderId="21" xfId="0" applyNumberFormat="1" applyFont="1" applyFill="1" applyBorder="1"/>
    <x:xf numFmtId="0" fontId="5" fillId="3" borderId="16" xfId="0" applyNumberFormat="1" applyFont="1" applyFill="1" applyBorder="1" applyAlignment="1">
      <x:alignment horizontal="center"/>
    </x:xf>
    <x:xf numFmtId="0" fontId="5" fillId="3" borderId="17" xfId="0" applyNumberFormat="1" applyFont="1" applyFill="1" applyBorder="1" applyAlignment="1">
      <x:alignment horizontal="center"/>
    </x:xf>
    <x:xf numFmtId="0" fontId="5" fillId="3" borderId="18" xfId="0" applyNumberFormat="1" applyFont="1" applyFill="1" applyBorder="1" applyAlignment="1">
      <x:alignment horizontal="center"/>
    </x:xf>
    <x:xf numFmtId="0" fontId="5" fillId="3" borderId="19" xfId="0" applyNumberFormat="1" applyFont="1" applyFill="1" applyBorder="1" applyAlignment="1">
      <x:alignment horizontal="center"/>
    </x:xf>
    <x:xf numFmtId="0" fontId="5" fillId="3" borderId="20" xfId="0" applyNumberFormat="1" applyFont="1" applyFill="1" applyBorder="1" applyAlignment="1">
      <x:alignment horizontal="center"/>
    </x:xf>
    <x:xf numFmtId="0" fontId="5" fillId="3" borderId="21" xfId="0" applyNumberFormat="1" applyFont="1" applyFill="1" applyBorder="1" applyAlignment="1">
      <x:alignment horizontal="center"/>
    </x:xf>
    <x:xf numFmtId="0" fontId="5" fillId="3" borderId="16" xfId="0" applyNumberFormat="1" applyFont="1" applyFill="1" applyBorder="1" applyAlignment="1">
      <x:alignment horizontal="center" vertical="center"/>
    </x:xf>
    <x:xf numFmtId="0" fontId="5" fillId="3" borderId="17" xfId="0" applyNumberFormat="1" applyFont="1" applyFill="1" applyBorder="1" applyAlignment="1">
      <x:alignment horizontal="center" vertical="center"/>
    </x:xf>
    <x:xf numFmtId="0" fontId="5" fillId="3" borderId="18" xfId="0" applyNumberFormat="1" applyFont="1" applyFill="1" applyBorder="1" applyAlignment="1">
      <x:alignment horizontal="center" vertical="center"/>
    </x:xf>
    <x:xf numFmtId="0" fontId="5" fillId="3" borderId="19" xfId="0" applyNumberFormat="1" applyFont="1" applyFill="1" applyBorder="1" applyAlignment="1">
      <x:alignment horizontal="center" vertical="center"/>
    </x:xf>
    <x:xf numFmtId="0" fontId="5" fillId="3" borderId="20" xfId="0" applyNumberFormat="1" applyFont="1" applyFill="1" applyBorder="1" applyAlignment="1">
      <x:alignment horizontal="center" vertical="center"/>
    </x:xf>
    <x:xf numFmtId="0" fontId="5" fillId="3" borderId="2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2" xfId="0" applyNumberFormat="1" applyFont="1" applyFill="1" applyBorder="1"/>
    <x:xf numFmtId="0" fontId="6" fillId="4" borderId="23" xfId="0" applyNumberFormat="1" applyFont="1" applyFill="1" applyBorder="1"/>
    <x:xf numFmtId="0" fontId="6" fillId="4" borderId="24" xfId="0" applyNumberFormat="1" applyFont="1" applyFill="1" applyBorder="1"/>
    <x:xf numFmtId="0" fontId="6" fillId="4" borderId="25" xfId="0" applyNumberFormat="1" applyFont="1" applyFill="1" applyBorder="1"/>
    <x:xf numFmtId="0" fontId="6" fillId="4" borderId="26" xfId="0" applyNumberFormat="1" applyFont="1" applyFill="1" applyBorder="1"/>
    <x:xf numFmtId="0" fontId="6" fillId="4" borderId="27" xfId="0" applyNumberFormat="1" applyFont="1" applyFill="1" applyBorder="1"/>
    <x:xf numFmtId="0" fontId="6" fillId="4" borderId="28" xfId="0" applyNumberFormat="1" applyFont="1" applyFill="1" applyBorder="1"/>
    <x:xf numFmtId="0" fontId="6" fillId="4" borderId="29" xfId="0" applyNumberFormat="1" applyFont="1" applyFill="1" applyBorder="1"/>
    <x:xf numFmtId="0" fontId="6" fillId="4" borderId="30" xfId="0" applyNumberFormat="1" applyFont="1" applyFill="1" applyBorder="1"/>
    <x:xf numFmtId="0" fontId="6" fillId="4" borderId="31" xfId="0" applyNumberFormat="1" applyFont="1" applyFill="1" applyBorder="1"/>
    <x:xf numFmtId="0" fontId="6" fillId="4" borderId="32" xfId="0" applyNumberFormat="1" applyFont="1" applyFill="1" applyBorder="1"/>
    <x:xf numFmtId="0" fontId="6" fillId="4" borderId="33" xfId="0" applyNumberFormat="1" applyFont="1" applyFill="1" applyBorder="1"/>
    <x:xf numFmtId="201" fontId="6" fillId="4" borderId="22" xfId="0" applyNumberFormat="1" applyFont="1" applyFill="1" applyBorder="1"/>
    <x:xf numFmtId="201" fontId="6" fillId="4" borderId="23" xfId="0" applyNumberFormat="1" applyFont="1" applyFill="1" applyBorder="1"/>
    <x:xf numFmtId="201" fontId="6" fillId="4" borderId="24" xfId="0" applyNumberFormat="1" applyFont="1" applyFill="1" applyBorder="1"/>
    <x:xf numFmtId="201" fontId="6" fillId="4" borderId="25" xfId="0" applyNumberFormat="1" applyFont="1" applyFill="1" applyBorder="1"/>
    <x:xf numFmtId="201" fontId="6" fillId="4" borderId="26" xfId="0" applyNumberFormat="1" applyFont="1" applyFill="1" applyBorder="1"/>
    <x:xf numFmtId="201" fontId="6" fillId="4" borderId="27" xfId="0" applyNumberFormat="1" applyFont="1" applyFill="1" applyBorder="1"/>
    <x:xf numFmtId="201" fontId="6" fillId="4" borderId="28" xfId="0" applyNumberFormat="1" applyFont="1" applyFill="1" applyBorder="1"/>
    <x:xf numFmtId="201" fontId="6" fillId="4" borderId="29" xfId="0" applyNumberFormat="1" applyFont="1" applyFill="1" applyBorder="1"/>
    <x:xf numFmtId="201" fontId="6" fillId="4" borderId="30" xfId="0" applyNumberFormat="1" applyFont="1" applyFill="1" applyBorder="1"/>
    <x:xf numFmtId="201" fontId="6" fillId="4" borderId="31" xfId="0" applyNumberFormat="1" applyFont="1" applyFill="1" applyBorder="1"/>
    <x:xf numFmtId="201" fontId="6" fillId="4" borderId="32" xfId="0" applyNumberFormat="1" applyFont="1" applyFill="1" applyBorder="1"/>
    <x:xf numFmtId="201" fontId="6" fillId="4" borderId="33" xfId="0" applyNumberFormat="1" applyFont="1" applyFill="1" applyBorder="1"/>
    <x:xf numFmtId="201" fontId="6" fillId="4" borderId="22" xfId="0" applyNumberFormat="1" applyFont="1" applyFill="1" applyBorder="1" applyAlignment="1">
      <x:alignment horizontal="center"/>
    </x:xf>
    <x:xf numFmtId="201" fontId="6" fillId="4" borderId="23" xfId="0" applyNumberFormat="1" applyFont="1" applyFill="1" applyBorder="1" applyAlignment="1">
      <x:alignment horizontal="center"/>
    </x:xf>
    <x:xf numFmtId="201" fontId="6" fillId="4" borderId="24" xfId="0" applyNumberFormat="1" applyFont="1" applyFill="1" applyBorder="1" applyAlignment="1">
      <x:alignment horizontal="center"/>
    </x:xf>
    <x:xf numFmtId="201" fontId="6" fillId="4" borderId="25" xfId="0" applyNumberFormat="1" applyFont="1" applyFill="1" applyBorder="1" applyAlignment="1">
      <x:alignment horizontal="center"/>
    </x:xf>
    <x:xf numFmtId="201" fontId="6" fillId="4" borderId="26" xfId="0" applyNumberFormat="1" applyFont="1" applyFill="1" applyBorder="1" applyAlignment="1">
      <x:alignment horizontal="center"/>
    </x:xf>
    <x:xf numFmtId="201" fontId="6" fillId="4" borderId="27" xfId="0" applyNumberFormat="1" applyFont="1" applyFill="1" applyBorder="1" applyAlignment="1">
      <x:alignment horizontal="center"/>
    </x:xf>
    <x:xf numFmtId="201" fontId="6" fillId="4" borderId="28" xfId="0" applyNumberFormat="1" applyFont="1" applyFill="1" applyBorder="1" applyAlignment="1">
      <x:alignment horizontal="center"/>
    </x:xf>
    <x:xf numFmtId="201" fontId="6" fillId="4" borderId="29" xfId="0" applyNumberFormat="1" applyFont="1" applyFill="1" applyBorder="1" applyAlignment="1">
      <x:alignment horizontal="center"/>
    </x:xf>
    <x:xf numFmtId="201" fontId="6" fillId="4" borderId="30" xfId="0" applyNumberFormat="1" applyFont="1" applyFill="1" applyBorder="1" applyAlignment="1">
      <x:alignment horizontal="center"/>
    </x:xf>
    <x:xf numFmtId="201" fontId="6" fillId="4" borderId="31" xfId="0" applyNumberFormat="1" applyFont="1" applyFill="1" applyBorder="1" applyAlignment="1">
      <x:alignment horizontal="center"/>
    </x:xf>
    <x:xf numFmtId="201" fontId="6" fillId="4" borderId="32" xfId="0" applyNumberFormat="1" applyFont="1" applyFill="1" applyBorder="1" applyAlignment="1">
      <x:alignment horizontal="center"/>
    </x:xf>
    <x:xf numFmtId="201" fontId="6" fillId="4" borderId="33" xfId="0" applyNumberFormat="1" applyFont="1" applyFill="1" applyBorder="1" applyAlignment="1">
      <x:alignment horizontal="center"/>
    </x:xf>
    <x:xf numFmtId="201" fontId="6" fillId="4" borderId="22" xfId="0" applyNumberFormat="1" applyFont="1" applyFill="1" applyBorder="1" applyAlignment="1">
      <x:alignment horizontal="center" vertical="center"/>
    </x:xf>
    <x:xf numFmtId="201" fontId="6" fillId="4" borderId="23" xfId="0" applyNumberFormat="1" applyFont="1" applyFill="1" applyBorder="1" applyAlignment="1">
      <x:alignment horizontal="center" vertical="center"/>
    </x:xf>
    <x:xf numFmtId="201" fontId="6" fillId="4" borderId="24" xfId="0" applyNumberFormat="1" applyFont="1" applyFill="1" applyBorder="1" applyAlignment="1">
      <x:alignment horizontal="center" vertical="center"/>
    </x:xf>
    <x:xf numFmtId="201" fontId="6" fillId="4" borderId="25" xfId="0" applyNumberFormat="1" applyFont="1" applyFill="1" applyBorder="1" applyAlignment="1">
      <x:alignment horizontal="center" vertical="center"/>
    </x:xf>
    <x:xf numFmtId="201" fontId="6" fillId="4" borderId="26" xfId="0" applyNumberFormat="1" applyFont="1" applyFill="1" applyBorder="1" applyAlignment="1">
      <x:alignment horizontal="center" vertical="center"/>
    </x:xf>
    <x:xf numFmtId="201" fontId="6" fillId="4" borderId="27" xfId="0" applyNumberFormat="1" applyFont="1" applyFill="1" applyBorder="1" applyAlignment="1">
      <x:alignment horizontal="center" vertical="center"/>
    </x:xf>
    <x:xf numFmtId="201" fontId="6" fillId="4" borderId="28" xfId="0" applyNumberFormat="1" applyFont="1" applyFill="1" applyBorder="1" applyAlignment="1">
      <x:alignment horizontal="center" vertical="center"/>
    </x:xf>
    <x:xf numFmtId="201" fontId="6" fillId="4" borderId="29" xfId="0" applyNumberFormat="1" applyFont="1" applyFill="1" applyBorder="1" applyAlignment="1">
      <x:alignment horizontal="center" vertical="center"/>
    </x:xf>
    <x:xf numFmtId="201" fontId="6" fillId="4" borderId="30" xfId="0" applyNumberFormat="1" applyFont="1" applyFill="1" applyBorder="1" applyAlignment="1">
      <x:alignment horizontal="center" vertical="center"/>
    </x:xf>
    <x:xf numFmtId="201" fontId="6" fillId="4" borderId="31" xfId="0" applyNumberFormat="1" applyFont="1" applyFill="1" applyBorder="1" applyAlignment="1">
      <x:alignment horizontal="center" vertical="center"/>
    </x:xf>
    <x:xf numFmtId="201" fontId="6" fillId="4" borderId="32" xfId="0" applyNumberFormat="1" applyFont="1" applyFill="1" applyBorder="1" applyAlignment="1">
      <x:alignment horizontal="center" vertical="center"/>
    </x:xf>
    <x:xf numFmtId="201" fontId="6" fillId="4" borderId="3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34" xfId="0" applyNumberFormat="1" applyFont="1" applyFill="1" applyBorder="1"/>
    <x:xf numFmtId="0" fontId="7" fillId="5" borderId="35" xfId="0" applyNumberFormat="1" applyFont="1" applyFill="1" applyBorder="1"/>
    <x:xf numFmtId="0" fontId="7" fillId="5" borderId="36" xfId="0" applyNumberFormat="1" applyFont="1" applyFill="1" applyBorder="1"/>
    <x:xf numFmtId="0" fontId="7" fillId="5" borderId="37" xfId="0" applyNumberFormat="1" applyFont="1" applyFill="1" applyBorder="1"/>
    <x:xf numFmtId="0" fontId="7" fillId="5" borderId="38" xfId="0" applyNumberFormat="1" applyFont="1" applyFill="1" applyBorder="1"/>
    <x:xf numFmtId="0" fontId="7" fillId="5" borderId="39" xfId="0" applyNumberFormat="1" applyFont="1" applyFill="1" applyBorder="1"/>
    <x:xf numFmtId="0" fontId="7" fillId="5" borderId="34" xfId="0" applyNumberFormat="1" applyFont="1" applyFill="1" applyBorder="1" applyAlignment="1">
      <x:alignment horizontal="center"/>
    </x:xf>
    <x:xf numFmtId="0" fontId="7" fillId="5" borderId="35" xfId="0" applyNumberFormat="1" applyFont="1" applyFill="1" applyBorder="1" applyAlignment="1">
      <x:alignment horizontal="center"/>
    </x:xf>
    <x:xf numFmtId="0" fontId="7" fillId="5" borderId="36" xfId="0" applyNumberFormat="1" applyFont="1" applyFill="1" applyBorder="1" applyAlignment="1">
      <x:alignment horizontal="center"/>
    </x:xf>
    <x:xf numFmtId="0" fontId="7" fillId="5" borderId="37" xfId="0" applyNumberFormat="1" applyFont="1" applyFill="1" applyBorder="1" applyAlignment="1">
      <x:alignment horizontal="center"/>
    </x:xf>
    <x:xf numFmtId="0" fontId="7" fillId="5" borderId="38" xfId="0" applyNumberFormat="1" applyFont="1" applyFill="1" applyBorder="1" applyAlignment="1">
      <x:alignment horizontal="center"/>
    </x:xf>
    <x:xf numFmtId="0" fontId="7" fillId="5" borderId="39" xfId="0" applyNumberFormat="1" applyFont="1" applyFill="1" applyBorder="1" applyAlignment="1">
      <x:alignment horizontal="center"/>
    </x:xf>
    <x:xf numFmtId="0" fontId="7" fillId="5" borderId="34" xfId="0" applyNumberFormat="1" applyFont="1" applyFill="1" applyBorder="1" applyAlignment="1">
      <x:alignment horizontal="center" vertical="center"/>
    </x:xf>
    <x:xf numFmtId="0" fontId="7" fillId="5" borderId="35" xfId="0" applyNumberFormat="1" applyFont="1" applyFill="1" applyBorder="1" applyAlignment="1">
      <x:alignment horizontal="center" vertical="center"/>
    </x:xf>
    <x:xf numFmtId="0" fontId="7" fillId="5" borderId="36" xfId="0" applyNumberFormat="1" applyFont="1" applyFill="1" applyBorder="1" applyAlignment="1">
      <x:alignment horizontal="center" vertical="center"/>
    </x:xf>
    <x:xf numFmtId="0" fontId="7" fillId="5" borderId="37" xfId="0" applyNumberFormat="1" applyFont="1" applyFill="1" applyBorder="1" applyAlignment="1">
      <x:alignment horizontal="center" vertical="center"/>
    </x:xf>
    <x:xf numFmtId="0" fontId="7" fillId="5" borderId="38" xfId="0" applyNumberFormat="1" applyFont="1" applyFill="1" applyBorder="1" applyAlignment="1">
      <x:alignment horizontal="center" vertical="center"/>
    </x:xf>
    <x:xf numFmtId="0" fontId="7" fillId="5" borderId="39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40" xfId="0" applyNumberFormat="1" applyFont="1" applyFill="1" applyBorder="1"/>
    <x:xf numFmtId="0" fontId="8" fillId="4" borderId="41" xfId="0" applyNumberFormat="1" applyFont="1" applyFill="1" applyBorder="1"/>
    <x:xf numFmtId="0" fontId="8" fillId="4" borderId="42" xfId="0" applyNumberFormat="1" applyFont="1" applyFill="1" applyBorder="1"/>
    <x:xf numFmtId="0" fontId="8" fillId="4" borderId="43" xfId="0" applyNumberFormat="1" applyFont="1" applyFill="1" applyBorder="1"/>
    <x:xf numFmtId="0" fontId="8" fillId="4" borderId="44" xfId="0" applyNumberFormat="1" applyFont="1" applyFill="1" applyBorder="1"/>
    <x:xf numFmtId="0" fontId="8" fillId="4" borderId="45" xfId="0" applyNumberFormat="1" applyFont="1" applyFill="1" applyBorder="1"/>
    <x:xf numFmtId="0" fontId="8" fillId="4" borderId="46" xfId="0" applyNumberFormat="1" applyFont="1" applyFill="1" applyBorder="1"/>
    <x:xf numFmtId="0" fontId="8" fillId="4" borderId="47" xfId="0" applyNumberFormat="1" applyFont="1" applyFill="1" applyBorder="1"/>
    <x:xf numFmtId="0" fontId="8" fillId="4" borderId="48" xfId="0" applyNumberFormat="1" applyFont="1" applyFill="1" applyBorder="1"/>
    <x:xf numFmtId="0" fontId="8" fillId="4" borderId="49" xfId="0" applyNumberFormat="1" applyFont="1" applyFill="1" applyBorder="1"/>
    <x:xf numFmtId="0" fontId="8" fillId="4" borderId="50" xfId="0" applyNumberFormat="1" applyFont="1" applyFill="1" applyBorder="1"/>
    <x:xf numFmtId="0" fontId="8" fillId="4" borderId="51" xfId="0" applyNumberFormat="1" applyFont="1" applyFill="1" applyBorder="1"/>
    <x:xf numFmtId="203" fontId="8" fillId="4" borderId="40" xfId="0" applyNumberFormat="1" applyFont="1" applyFill="1" applyBorder="1"/>
    <x:xf numFmtId="203" fontId="8" fillId="4" borderId="41" xfId="0" applyNumberFormat="1" applyFont="1" applyFill="1" applyBorder="1"/>
    <x:xf numFmtId="203" fontId="8" fillId="4" borderId="42" xfId="0" applyNumberFormat="1" applyFont="1" applyFill="1" applyBorder="1"/>
    <x:xf numFmtId="203" fontId="8" fillId="4" borderId="43" xfId="0" applyNumberFormat="1" applyFont="1" applyFill="1" applyBorder="1"/>
    <x:xf numFmtId="203" fontId="8" fillId="4" borderId="44" xfId="0" applyNumberFormat="1" applyFont="1" applyFill="1" applyBorder="1"/>
    <x:xf numFmtId="203" fontId="8" fillId="4" borderId="45" xfId="0" applyNumberFormat="1" applyFont="1" applyFill="1" applyBorder="1"/>
    <x:xf numFmtId="203" fontId="8" fillId="4" borderId="46" xfId="0" applyNumberFormat="1" applyFont="1" applyFill="1" applyBorder="1"/>
    <x:xf numFmtId="203" fontId="8" fillId="4" borderId="47" xfId="0" applyNumberFormat="1" applyFont="1" applyFill="1" applyBorder="1"/>
    <x:xf numFmtId="203" fontId="8" fillId="4" borderId="48" xfId="0" applyNumberFormat="1" applyFont="1" applyFill="1" applyBorder="1"/>
    <x:xf numFmtId="203" fontId="8" fillId="4" borderId="49" xfId="0" applyNumberFormat="1" applyFont="1" applyFill="1" applyBorder="1"/>
    <x:xf numFmtId="203" fontId="8" fillId="4" borderId="50" xfId="0" applyNumberFormat="1" applyFont="1" applyFill="1" applyBorder="1"/>
    <x:xf numFmtId="203" fontId="8" fillId="4" borderId="51" xfId="0" applyNumberFormat="1" applyFont="1" applyFill="1" applyBorder="1"/>
    <x:xf numFmtId="203" fontId="8" fillId="4" borderId="40" xfId="0" applyNumberFormat="1" applyFont="1" applyFill="1" applyBorder="1" applyAlignment="1">
      <x:alignment horizontal="center"/>
    </x:xf>
    <x:xf numFmtId="203" fontId="8" fillId="4" borderId="41" xfId="0" applyNumberFormat="1" applyFont="1" applyFill="1" applyBorder="1" applyAlignment="1">
      <x:alignment horizontal="center"/>
    </x:xf>
    <x:xf numFmtId="203" fontId="8" fillId="4" borderId="42" xfId="0" applyNumberFormat="1" applyFont="1" applyFill="1" applyBorder="1" applyAlignment="1">
      <x:alignment horizontal="center"/>
    </x:xf>
    <x:xf numFmtId="203" fontId="8" fillId="4" borderId="43" xfId="0" applyNumberFormat="1" applyFont="1" applyFill="1" applyBorder="1" applyAlignment="1">
      <x:alignment horizontal="center"/>
    </x:xf>
    <x:xf numFmtId="203" fontId="8" fillId="4" borderId="44" xfId="0" applyNumberFormat="1" applyFont="1" applyFill="1" applyBorder="1" applyAlignment="1">
      <x:alignment horizontal="center"/>
    </x:xf>
    <x:xf numFmtId="203" fontId="8" fillId="4" borderId="45" xfId="0" applyNumberFormat="1" applyFont="1" applyFill="1" applyBorder="1" applyAlignment="1">
      <x:alignment horizontal="center"/>
    </x:xf>
    <x:xf numFmtId="203" fontId="8" fillId="4" borderId="46" xfId="0" applyNumberFormat="1" applyFont="1" applyFill="1" applyBorder="1" applyAlignment="1">
      <x:alignment horizontal="center"/>
    </x:xf>
    <x:xf numFmtId="203" fontId="8" fillId="4" borderId="47" xfId="0" applyNumberFormat="1" applyFont="1" applyFill="1" applyBorder="1" applyAlignment="1">
      <x:alignment horizontal="center"/>
    </x:xf>
    <x:xf numFmtId="203" fontId="8" fillId="4" borderId="48" xfId="0" applyNumberFormat="1" applyFont="1" applyFill="1" applyBorder="1" applyAlignment="1">
      <x:alignment horizontal="center"/>
    </x:xf>
    <x:xf numFmtId="203" fontId="8" fillId="4" borderId="49" xfId="0" applyNumberFormat="1" applyFont="1" applyFill="1" applyBorder="1" applyAlignment="1">
      <x:alignment horizontal="center"/>
    </x:xf>
    <x:xf numFmtId="203" fontId="8" fillId="4" borderId="50" xfId="0" applyNumberFormat="1" applyFont="1" applyFill="1" applyBorder="1" applyAlignment="1">
      <x:alignment horizontal="center"/>
    </x:xf>
    <x:xf numFmtId="203" fontId="8" fillId="4" borderId="51" xfId="0" applyNumberFormat="1" applyFont="1" applyFill="1" applyBorder="1" applyAlignment="1">
      <x:alignment horizontal="center"/>
    </x:xf>
    <x:xf numFmtId="203" fontId="8" fillId="4" borderId="40" xfId="0" applyNumberFormat="1" applyFont="1" applyFill="1" applyBorder="1" applyAlignment="1">
      <x:alignment horizontal="center" vertical="center"/>
    </x:xf>
    <x:xf numFmtId="203" fontId="8" fillId="4" borderId="41" xfId="0" applyNumberFormat="1" applyFont="1" applyFill="1" applyBorder="1" applyAlignment="1">
      <x:alignment horizontal="center" vertical="center"/>
    </x:xf>
    <x:xf numFmtId="203" fontId="8" fillId="4" borderId="42" xfId="0" applyNumberFormat="1" applyFont="1" applyFill="1" applyBorder="1" applyAlignment="1">
      <x:alignment horizontal="center" vertical="center"/>
    </x:xf>
    <x:xf numFmtId="203" fontId="8" fillId="4" borderId="43" xfId="0" applyNumberFormat="1" applyFont="1" applyFill="1" applyBorder="1" applyAlignment="1">
      <x:alignment horizontal="center" vertical="center"/>
    </x:xf>
    <x:xf numFmtId="203" fontId="8" fillId="4" borderId="44" xfId="0" applyNumberFormat="1" applyFont="1" applyFill="1" applyBorder="1" applyAlignment="1">
      <x:alignment horizontal="center" vertical="center"/>
    </x:xf>
    <x:xf numFmtId="203" fontId="8" fillId="4" borderId="45" xfId="0" applyNumberFormat="1" applyFont="1" applyFill="1" applyBorder="1" applyAlignment="1">
      <x:alignment horizontal="center" vertical="center"/>
    </x:xf>
    <x:xf numFmtId="203" fontId="8" fillId="4" borderId="46" xfId="0" applyNumberFormat="1" applyFont="1" applyFill="1" applyBorder="1" applyAlignment="1">
      <x:alignment horizontal="center" vertical="center"/>
    </x:xf>
    <x:xf numFmtId="203" fontId="8" fillId="4" borderId="47" xfId="0" applyNumberFormat="1" applyFont="1" applyFill="1" applyBorder="1" applyAlignment="1">
      <x:alignment horizontal="center" vertical="center"/>
    </x:xf>
    <x:xf numFmtId="203" fontId="8" fillId="4" borderId="48" xfId="0" applyNumberFormat="1" applyFont="1" applyFill="1" applyBorder="1" applyAlignment="1">
      <x:alignment horizontal="center" vertical="center"/>
    </x:xf>
    <x:xf numFmtId="203" fontId="8" fillId="4" borderId="49" xfId="0" applyNumberFormat="1" applyFont="1" applyFill="1" applyBorder="1" applyAlignment="1">
      <x:alignment horizontal="center" vertical="center"/>
    </x:xf>
    <x:xf numFmtId="203" fontId="8" fillId="4" borderId="50" xfId="0" applyNumberFormat="1" applyFont="1" applyFill="1" applyBorder="1" applyAlignment="1">
      <x:alignment horizontal="center" vertical="center"/>
    </x:xf>
    <x:xf numFmtId="203" fontId="8" fillId="4" borderId="5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9" fillId="6" borderId="0" xfId="0" applyNumberFormat="1" applyFont="1" applyFill="1" applyBorder="1"/>
    <x:xf numFmtId="0" fontId="9" fillId="6" borderId="1" xfId="0" applyNumberFormat="1" applyFont="1" applyFill="1" applyBorder="1"/>
    <x:xf numFmtId="0" fontId="9" fillId="6" borderId="52" xfId="0" applyNumberFormat="1" applyFont="1" applyFill="1" applyBorder="1"/>
    <x:xf numFmtId="0" fontId="9" fillId="6" borderId="53" xfId="0" applyNumberFormat="1" applyFont="1" applyFill="1" applyBorder="1"/>
    <x:xf numFmtId="0" fontId="9" fillId="6" borderId="54" xfId="0" applyNumberFormat="1" applyFont="1" applyFill="1" applyBorder="1"/>
    <x:xf numFmtId="0" fontId="9" fillId="6" borderId="55" xfId="0" applyNumberFormat="1" applyFont="1" applyFill="1" applyBorder="1"/>
    <x:xf numFmtId="0" fontId="9" fillId="6" borderId="56" xfId="0" applyNumberFormat="1" applyFont="1" applyFill="1" applyBorder="1"/>
    <x:xf numFmtId="0" fontId="9" fillId="6" borderId="57" xfId="0" applyNumberFormat="1" applyFont="1" applyFill="1" applyBorder="1"/>
    <x:xf numFmtId="0" fontId="9" fillId="6" borderId="52" xfId="0" applyNumberFormat="1" applyFont="1" applyFill="1" applyBorder="1" applyAlignment="1">
      <x:alignment horizontal="center"/>
    </x:xf>
    <x:xf numFmtId="0" fontId="9" fillId="6" borderId="53" xfId="0" applyNumberFormat="1" applyFont="1" applyFill="1" applyBorder="1" applyAlignment="1">
      <x:alignment horizontal="center"/>
    </x:xf>
    <x:xf numFmtId="0" fontId="9" fillId="6" borderId="54" xfId="0" applyNumberFormat="1" applyFont="1" applyFill="1" applyBorder="1" applyAlignment="1">
      <x:alignment horizontal="center"/>
    </x:xf>
    <x:xf numFmtId="0" fontId="9" fillId="6" borderId="55" xfId="0" applyNumberFormat="1" applyFont="1" applyFill="1" applyBorder="1" applyAlignment="1">
      <x:alignment horizontal="center"/>
    </x:xf>
    <x:xf numFmtId="0" fontId="9" fillId="6" borderId="56" xfId="0" applyNumberFormat="1" applyFont="1" applyFill="1" applyBorder="1" applyAlignment="1">
      <x:alignment horizontal="center"/>
    </x:xf>
    <x:xf numFmtId="0" fontId="9" fillId="6" borderId="57" xfId="0" applyNumberFormat="1" applyFont="1" applyFill="1" applyBorder="1" applyAlignment="1">
      <x:alignment horizontal="center"/>
    </x:xf>
    <x:xf numFmtId="0" fontId="9" fillId="6" borderId="52" xfId="0" applyNumberFormat="1" applyFont="1" applyFill="1" applyBorder="1" applyAlignment="1">
      <x:alignment horizontal="center" vertical="center"/>
    </x:xf>
    <x:xf numFmtId="0" fontId="9" fillId="6" borderId="53" xfId="0" applyNumberFormat="1" applyFont="1" applyFill="1" applyBorder="1" applyAlignment="1">
      <x:alignment horizontal="center" vertical="center"/>
    </x:xf>
    <x:xf numFmtId="0" fontId="9" fillId="6" borderId="54" xfId="0" applyNumberFormat="1" applyFont="1" applyFill="1" applyBorder="1" applyAlignment="1">
      <x:alignment horizontal="center" vertical="center"/>
    </x:xf>
    <x:xf numFmtId="0" fontId="9" fillId="6" borderId="55" xfId="0" applyNumberFormat="1" applyFont="1" applyFill="1" applyBorder="1" applyAlignment="1">
      <x:alignment horizontal="center" vertical="center"/>
    </x:xf>
    <x:xf numFmtId="0" fontId="9" fillId="6" borderId="56" xfId="0" applyNumberFormat="1" applyFont="1" applyFill="1" applyBorder="1" applyAlignment="1">
      <x:alignment horizontal="center" vertical="center"/>
    </x:xf>
    <x:xf numFmtId="0" fontId="9" fillId="6" borderId="57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10" fillId="4" borderId="58" xfId="0" applyNumberFormat="1" applyFont="1" applyFill="1" applyBorder="1"/>
    <x:xf numFmtId="0" fontId="10" fillId="4" borderId="59" xfId="0" applyNumberFormat="1" applyFont="1" applyFill="1" applyBorder="1"/>
    <x:xf numFmtId="0" fontId="10" fillId="4" borderId="60" xfId="0" applyNumberFormat="1" applyFont="1" applyFill="1" applyBorder="1"/>
    <x:xf numFmtId="0" fontId="10" fillId="4" borderId="61" xfId="0" applyNumberFormat="1" applyFont="1" applyFill="1" applyBorder="1"/>
    <x:xf numFmtId="0" fontId="10" fillId="4" borderId="62" xfId="0" applyNumberFormat="1" applyFont="1" applyFill="1" applyBorder="1"/>
    <x:xf numFmtId="0" fontId="10" fillId="4" borderId="63" xfId="0" applyNumberFormat="1" applyFont="1" applyFill="1" applyBorder="1"/>
    <x:xf numFmtId="0" fontId="10" fillId="4" borderId="64" xfId="0" applyNumberFormat="1" applyFont="1" applyFill="1" applyBorder="1"/>
    <x:xf numFmtId="0" fontId="10" fillId="4" borderId="65" xfId="0" applyNumberFormat="1" applyFont="1" applyFill="1" applyBorder="1"/>
    <x:xf numFmtId="0" fontId="10" fillId="4" borderId="66" xfId="0" applyNumberFormat="1" applyFont="1" applyFill="1" applyBorder="1"/>
    <x:xf numFmtId="0" fontId="10" fillId="4" borderId="67" xfId="0" applyNumberFormat="1" applyFont="1" applyFill="1" applyBorder="1"/>
    <x:xf numFmtId="0" fontId="10" fillId="4" borderId="68" xfId="0" applyNumberFormat="1" applyFont="1" applyFill="1" applyBorder="1"/>
    <x:xf numFmtId="0" fontId="10" fillId="4" borderId="69" xfId="0" applyNumberFormat="1" applyFont="1" applyFill="1" applyBorder="1"/>
    <x:xf numFmtId="203" fontId="10" fillId="4" borderId="58" xfId="0" applyNumberFormat="1" applyFont="1" applyFill="1" applyBorder="1"/>
    <x:xf numFmtId="203" fontId="10" fillId="4" borderId="59" xfId="0" applyNumberFormat="1" applyFont="1" applyFill="1" applyBorder="1"/>
    <x:xf numFmtId="203" fontId="10" fillId="4" borderId="60" xfId="0" applyNumberFormat="1" applyFont="1" applyFill="1" applyBorder="1"/>
    <x:xf numFmtId="203" fontId="10" fillId="4" borderId="61" xfId="0" applyNumberFormat="1" applyFont="1" applyFill="1" applyBorder="1"/>
    <x:xf numFmtId="203" fontId="10" fillId="4" borderId="62" xfId="0" applyNumberFormat="1" applyFont="1" applyFill="1" applyBorder="1"/>
    <x:xf numFmtId="203" fontId="10" fillId="4" borderId="63" xfId="0" applyNumberFormat="1" applyFont="1" applyFill="1" applyBorder="1"/>
    <x:xf numFmtId="203" fontId="10" fillId="4" borderId="64" xfId="0" applyNumberFormat="1" applyFont="1" applyFill="1" applyBorder="1"/>
    <x:xf numFmtId="203" fontId="10" fillId="4" borderId="65" xfId="0" applyNumberFormat="1" applyFont="1" applyFill="1" applyBorder="1"/>
    <x:xf numFmtId="203" fontId="10" fillId="4" borderId="66" xfId="0" applyNumberFormat="1" applyFont="1" applyFill="1" applyBorder="1"/>
    <x:xf numFmtId="203" fontId="10" fillId="4" borderId="67" xfId="0" applyNumberFormat="1" applyFont="1" applyFill="1" applyBorder="1"/>
    <x:xf numFmtId="203" fontId="10" fillId="4" borderId="68" xfId="0" applyNumberFormat="1" applyFont="1" applyFill="1" applyBorder="1"/>
    <x:xf numFmtId="203" fontId="10" fillId="4" borderId="69" xfId="0" applyNumberFormat="1" applyFont="1" applyFill="1" applyBorder="1"/>
    <x:xf numFmtId="203" fontId="10" fillId="4" borderId="58" xfId="0" applyNumberFormat="1" applyFont="1" applyFill="1" applyBorder="1" applyAlignment="1">
      <x:alignment horizontal="center"/>
    </x:xf>
    <x:xf numFmtId="203" fontId="10" fillId="4" borderId="59" xfId="0" applyNumberFormat="1" applyFont="1" applyFill="1" applyBorder="1" applyAlignment="1">
      <x:alignment horizontal="center"/>
    </x:xf>
    <x:xf numFmtId="203" fontId="10" fillId="4" borderId="60" xfId="0" applyNumberFormat="1" applyFont="1" applyFill="1" applyBorder="1" applyAlignment="1">
      <x:alignment horizontal="center"/>
    </x:xf>
    <x:xf numFmtId="203" fontId="10" fillId="4" borderId="61" xfId="0" applyNumberFormat="1" applyFont="1" applyFill="1" applyBorder="1" applyAlignment="1">
      <x:alignment horizontal="center"/>
    </x:xf>
    <x:xf numFmtId="203" fontId="10" fillId="4" borderId="62" xfId="0" applyNumberFormat="1" applyFont="1" applyFill="1" applyBorder="1" applyAlignment="1">
      <x:alignment horizontal="center"/>
    </x:xf>
    <x:xf numFmtId="203" fontId="10" fillId="4" borderId="63" xfId="0" applyNumberFormat="1" applyFont="1" applyFill="1" applyBorder="1" applyAlignment="1">
      <x:alignment horizontal="center"/>
    </x:xf>
    <x:xf numFmtId="203" fontId="10" fillId="4" borderId="64" xfId="0" applyNumberFormat="1" applyFont="1" applyFill="1" applyBorder="1" applyAlignment="1">
      <x:alignment horizontal="center"/>
    </x:xf>
    <x:xf numFmtId="203" fontId="10" fillId="4" borderId="65" xfId="0" applyNumberFormat="1" applyFont="1" applyFill="1" applyBorder="1" applyAlignment="1">
      <x:alignment horizontal="center"/>
    </x:xf>
    <x:xf numFmtId="203" fontId="10" fillId="4" borderId="66" xfId="0" applyNumberFormat="1" applyFont="1" applyFill="1" applyBorder="1" applyAlignment="1">
      <x:alignment horizontal="center"/>
    </x:xf>
    <x:xf numFmtId="203" fontId="10" fillId="4" borderId="67" xfId="0" applyNumberFormat="1" applyFont="1" applyFill="1" applyBorder="1" applyAlignment="1">
      <x:alignment horizontal="center"/>
    </x:xf>
    <x:xf numFmtId="203" fontId="10" fillId="4" borderId="68" xfId="0" applyNumberFormat="1" applyFont="1" applyFill="1" applyBorder="1" applyAlignment="1">
      <x:alignment horizontal="center"/>
    </x:xf>
    <x:xf numFmtId="203" fontId="10" fillId="4" borderId="69" xfId="0" applyNumberFormat="1" applyFont="1" applyFill="1" applyBorder="1" applyAlignment="1">
      <x:alignment horizontal="center"/>
    </x:xf>
    <x:xf numFmtId="203" fontId="10" fillId="4" borderId="58" xfId="0" applyNumberFormat="1" applyFont="1" applyFill="1" applyBorder="1" applyAlignment="1">
      <x:alignment horizontal="center" vertical="center"/>
    </x:xf>
    <x:xf numFmtId="203" fontId="10" fillId="4" borderId="59" xfId="0" applyNumberFormat="1" applyFont="1" applyFill="1" applyBorder="1" applyAlignment="1">
      <x:alignment horizontal="center" vertical="center"/>
    </x:xf>
    <x:xf numFmtId="203" fontId="10" fillId="4" borderId="60" xfId="0" applyNumberFormat="1" applyFont="1" applyFill="1" applyBorder="1" applyAlignment="1">
      <x:alignment horizontal="center" vertical="center"/>
    </x:xf>
    <x:xf numFmtId="203" fontId="10" fillId="4" borderId="61" xfId="0" applyNumberFormat="1" applyFont="1" applyFill="1" applyBorder="1" applyAlignment="1">
      <x:alignment horizontal="center" vertical="center"/>
    </x:xf>
    <x:xf numFmtId="203" fontId="10" fillId="4" borderId="62" xfId="0" applyNumberFormat="1" applyFont="1" applyFill="1" applyBorder="1" applyAlignment="1">
      <x:alignment horizontal="center" vertical="center"/>
    </x:xf>
    <x:xf numFmtId="203" fontId="10" fillId="4" borderId="63" xfId="0" applyNumberFormat="1" applyFont="1" applyFill="1" applyBorder="1" applyAlignment="1">
      <x:alignment horizontal="center" vertical="center"/>
    </x:xf>
    <x:xf numFmtId="203" fontId="10" fillId="4" borderId="64" xfId="0" applyNumberFormat="1" applyFont="1" applyFill="1" applyBorder="1" applyAlignment="1">
      <x:alignment horizontal="center" vertical="center"/>
    </x:xf>
    <x:xf numFmtId="203" fontId="10" fillId="4" borderId="65" xfId="0" applyNumberFormat="1" applyFont="1" applyFill="1" applyBorder="1" applyAlignment="1">
      <x:alignment horizontal="center" vertical="center"/>
    </x:xf>
    <x:xf numFmtId="203" fontId="10" fillId="4" borderId="66" xfId="0" applyNumberFormat="1" applyFont="1" applyFill="1" applyBorder="1" applyAlignment="1">
      <x:alignment horizontal="center" vertical="center"/>
    </x:xf>
    <x:xf numFmtId="203" fontId="10" fillId="4" borderId="67" xfId="0" applyNumberFormat="1" applyFont="1" applyFill="1" applyBorder="1" applyAlignment="1">
      <x:alignment horizontal="center" vertical="center"/>
    </x:xf>
    <x:xf numFmtId="203" fontId="10" fillId="4" borderId="68" xfId="0" applyNumberFormat="1" applyFont="1" applyFill="1" applyBorder="1" applyAlignment="1">
      <x:alignment horizontal="center" vertical="center"/>
    </x:xf>
    <x:xf numFmtId="203" fontId="10" fillId="4" borderId="6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1" fillId="7" borderId="0" xfId="0" applyNumberFormat="1" applyFont="1" applyFill="1" applyBorder="1"/>
    <x:xf numFmtId="0" fontId="11" fillId="7" borderId="1" xfId="0" applyNumberFormat="1" applyFont="1" applyFill="1" applyBorder="1"/>
    <x:xf numFmtId="0" fontId="11" fillId="7" borderId="70" xfId="0" applyNumberFormat="1" applyFont="1" applyFill="1" applyBorder="1"/>
    <x:xf numFmtId="0" fontId="11" fillId="7" borderId="71" xfId="0" applyNumberFormat="1" applyFont="1" applyFill="1" applyBorder="1"/>
    <x:xf numFmtId="0" fontId="11" fillId="7" borderId="72" xfId="0" applyNumberFormat="1" applyFont="1" applyFill="1" applyBorder="1"/>
    <x:xf numFmtId="0" fontId="11" fillId="7" borderId="73" xfId="0" applyNumberFormat="1" applyFont="1" applyFill="1" applyBorder="1"/>
    <x:xf numFmtId="0" fontId="11" fillId="7" borderId="74" xfId="0" applyNumberFormat="1" applyFont="1" applyFill="1" applyBorder="1"/>
    <x:xf numFmtId="0" fontId="11" fillId="7" borderId="75" xfId="0" applyNumberFormat="1" applyFont="1" applyFill="1" applyBorder="1"/>
    <x:xf numFmtId="0" fontId="11" fillId="7" borderId="70" xfId="0" applyNumberFormat="1" applyFont="1" applyFill="1" applyBorder="1" applyAlignment="1">
      <x:alignment horizontal="center"/>
    </x:xf>
    <x:xf numFmtId="0" fontId="11" fillId="7" borderId="71" xfId="0" applyNumberFormat="1" applyFont="1" applyFill="1" applyBorder="1" applyAlignment="1">
      <x:alignment horizontal="center"/>
    </x:xf>
    <x:xf numFmtId="0" fontId="11" fillId="7" borderId="72" xfId="0" applyNumberFormat="1" applyFont="1" applyFill="1" applyBorder="1" applyAlignment="1">
      <x:alignment horizontal="center"/>
    </x:xf>
    <x:xf numFmtId="0" fontId="11" fillId="7" borderId="73" xfId="0" applyNumberFormat="1" applyFont="1" applyFill="1" applyBorder="1" applyAlignment="1">
      <x:alignment horizontal="center"/>
    </x:xf>
    <x:xf numFmtId="0" fontId="11" fillId="7" borderId="74" xfId="0" applyNumberFormat="1" applyFont="1" applyFill="1" applyBorder="1" applyAlignment="1">
      <x:alignment horizontal="center"/>
    </x:xf>
    <x:xf numFmtId="0" fontId="11" fillId="7" borderId="75" xfId="0" applyNumberFormat="1" applyFont="1" applyFill="1" applyBorder="1" applyAlignment="1">
      <x:alignment horizontal="center"/>
    </x:xf>
    <x:xf numFmtId="0" fontId="11" fillId="7" borderId="70" xfId="0" applyNumberFormat="1" applyFont="1" applyFill="1" applyBorder="1" applyAlignment="1">
      <x:alignment horizontal="center" vertical="center"/>
    </x:xf>
    <x:xf numFmtId="0" fontId="11" fillId="7" borderId="71" xfId="0" applyNumberFormat="1" applyFont="1" applyFill="1" applyBorder="1" applyAlignment="1">
      <x:alignment horizontal="center" vertical="center"/>
    </x:xf>
    <x:xf numFmtId="0" fontId="11" fillId="7" borderId="72" xfId="0" applyNumberFormat="1" applyFont="1" applyFill="1" applyBorder="1" applyAlignment="1">
      <x:alignment horizontal="center" vertical="center"/>
    </x:xf>
    <x:xf numFmtId="0" fontId="11" fillId="7" borderId="73" xfId="0" applyNumberFormat="1" applyFont="1" applyFill="1" applyBorder="1" applyAlignment="1">
      <x:alignment horizontal="center" vertical="center"/>
    </x:xf>
    <x:xf numFmtId="0" fontId="11" fillId="7" borderId="74" xfId="0" applyNumberFormat="1" applyFont="1" applyFill="1" applyBorder="1" applyAlignment="1">
      <x:alignment horizontal="center" vertical="center"/>
    </x:xf>
    <x:xf numFmtId="0" fontId="11" fillId="7" borderId="75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/>
    <x:xf numFmtId="0" fontId="12" fillId="4" borderId="1" xfId="0" applyNumberFormat="1" applyFont="1" applyFill="1" applyBorder="1"/>
    <x:xf numFmtId="0" fontId="12" fillId="4" borderId="76" xfId="0" applyNumberFormat="1" applyFont="1" applyFill="1" applyBorder="1"/>
    <x:xf numFmtId="0" fontId="12" fillId="4" borderId="77" xfId="0" applyNumberFormat="1" applyFont="1" applyFill="1" applyBorder="1"/>
    <x:xf numFmtId="0" fontId="12" fillId="4" borderId="78" xfId="0" applyNumberFormat="1" applyFont="1" applyFill="1" applyBorder="1"/>
    <x:xf numFmtId="0" fontId="12" fillId="4" borderId="79" xfId="0" applyNumberFormat="1" applyFont="1" applyFill="1" applyBorder="1"/>
    <x:xf numFmtId="0" fontId="12" fillId="4" borderId="80" xfId="0" applyNumberFormat="1" applyFont="1" applyFill="1" applyBorder="1"/>
    <x:xf numFmtId="0" fontId="12" fillId="4" borderId="81" xfId="0" applyNumberFormat="1" applyFont="1" applyFill="1" applyBorder="1"/>
    <x:xf numFmtId="0" fontId="12" fillId="4" borderId="82" xfId="0" applyNumberFormat="1" applyFont="1" applyFill="1" applyBorder="1"/>
    <x:xf numFmtId="0" fontId="12" fillId="4" borderId="83" xfId="0" applyNumberFormat="1" applyFont="1" applyFill="1" applyBorder="1"/>
    <x:xf numFmtId="0" fontId="12" fillId="4" borderId="84" xfId="0" applyNumberFormat="1" applyFont="1" applyFill="1" applyBorder="1"/>
    <x:xf numFmtId="0" fontId="12" fillId="4" borderId="85" xfId="0" applyNumberFormat="1" applyFont="1" applyFill="1" applyBorder="1"/>
    <x:xf numFmtId="0" fontId="12" fillId="4" borderId="86" xfId="0" applyNumberFormat="1" applyFont="1" applyFill="1" applyBorder="1"/>
    <x:xf numFmtId="0" fontId="12" fillId="4" borderId="87" xfId="0" applyNumberFormat="1" applyFont="1" applyFill="1" applyBorder="1"/>
    <x:xf numFmtId="204" fontId="12" fillId="4" borderId="76" xfId="0" applyNumberFormat="1" applyFont="1" applyFill="1" applyBorder="1"/>
    <x:xf numFmtId="204" fontId="12" fillId="4" borderId="77" xfId="0" applyNumberFormat="1" applyFont="1" applyFill="1" applyBorder="1"/>
    <x:xf numFmtId="204" fontId="12" fillId="4" borderId="78" xfId="0" applyNumberFormat="1" applyFont="1" applyFill="1" applyBorder="1"/>
    <x:xf numFmtId="204" fontId="12" fillId="4" borderId="79" xfId="0" applyNumberFormat="1" applyFont="1" applyFill="1" applyBorder="1"/>
    <x:xf numFmtId="204" fontId="12" fillId="4" borderId="80" xfId="0" applyNumberFormat="1" applyFont="1" applyFill="1" applyBorder="1"/>
    <x:xf numFmtId="204" fontId="12" fillId="4" borderId="81" xfId="0" applyNumberFormat="1" applyFont="1" applyFill="1" applyBorder="1"/>
    <x:xf numFmtId="204" fontId="12" fillId="4" borderId="82" xfId="0" applyNumberFormat="1" applyFont="1" applyFill="1" applyBorder="1"/>
    <x:xf numFmtId="204" fontId="12" fillId="4" borderId="83" xfId="0" applyNumberFormat="1" applyFont="1" applyFill="1" applyBorder="1"/>
    <x:xf numFmtId="204" fontId="12" fillId="4" borderId="84" xfId="0" applyNumberFormat="1" applyFont="1" applyFill="1" applyBorder="1"/>
    <x:xf numFmtId="204" fontId="12" fillId="4" borderId="85" xfId="0" applyNumberFormat="1" applyFont="1" applyFill="1" applyBorder="1"/>
    <x:xf numFmtId="204" fontId="12" fillId="4" borderId="86" xfId="0" applyNumberFormat="1" applyFont="1" applyFill="1" applyBorder="1"/>
    <x:xf numFmtId="204" fontId="12" fillId="4" borderId="87" xfId="0" applyNumberFormat="1" applyFont="1" applyFill="1" applyBorder="1"/>
    <x:xf numFmtId="204" fontId="12" fillId="4" borderId="76" xfId="0" applyNumberFormat="1" applyFont="1" applyFill="1" applyBorder="1" applyAlignment="1">
      <x:alignment horizontal="center"/>
    </x:xf>
    <x:xf numFmtId="204" fontId="12" fillId="4" borderId="77" xfId="0" applyNumberFormat="1" applyFont="1" applyFill="1" applyBorder="1" applyAlignment="1">
      <x:alignment horizontal="center"/>
    </x:xf>
    <x:xf numFmtId="204" fontId="12" fillId="4" borderId="78" xfId="0" applyNumberFormat="1" applyFont="1" applyFill="1" applyBorder="1" applyAlignment="1">
      <x:alignment horizontal="center"/>
    </x:xf>
    <x:xf numFmtId="204" fontId="12" fillId="4" borderId="79" xfId="0" applyNumberFormat="1" applyFont="1" applyFill="1" applyBorder="1" applyAlignment="1">
      <x:alignment horizontal="center"/>
    </x:xf>
    <x:xf numFmtId="204" fontId="12" fillId="4" borderId="80" xfId="0" applyNumberFormat="1" applyFont="1" applyFill="1" applyBorder="1" applyAlignment="1">
      <x:alignment horizontal="center"/>
    </x:xf>
    <x:xf numFmtId="204" fontId="12" fillId="4" borderId="81" xfId="0" applyNumberFormat="1" applyFont="1" applyFill="1" applyBorder="1" applyAlignment="1">
      <x:alignment horizontal="center"/>
    </x:xf>
    <x:xf numFmtId="204" fontId="12" fillId="4" borderId="82" xfId="0" applyNumberFormat="1" applyFont="1" applyFill="1" applyBorder="1" applyAlignment="1">
      <x:alignment horizontal="center"/>
    </x:xf>
    <x:xf numFmtId="204" fontId="12" fillId="4" borderId="83" xfId="0" applyNumberFormat="1" applyFont="1" applyFill="1" applyBorder="1" applyAlignment="1">
      <x:alignment horizontal="center"/>
    </x:xf>
    <x:xf numFmtId="204" fontId="12" fillId="4" borderId="84" xfId="0" applyNumberFormat="1" applyFont="1" applyFill="1" applyBorder="1" applyAlignment="1">
      <x:alignment horizontal="center"/>
    </x:xf>
    <x:xf numFmtId="204" fontId="12" fillId="4" borderId="85" xfId="0" applyNumberFormat="1" applyFont="1" applyFill="1" applyBorder="1" applyAlignment="1">
      <x:alignment horizontal="center"/>
    </x:xf>
    <x:xf numFmtId="204" fontId="12" fillId="4" borderId="86" xfId="0" applyNumberFormat="1" applyFont="1" applyFill="1" applyBorder="1" applyAlignment="1">
      <x:alignment horizontal="center"/>
    </x:xf>
    <x:xf numFmtId="204" fontId="12" fillId="4" borderId="87" xfId="0" applyNumberFormat="1" applyFont="1" applyFill="1" applyBorder="1" applyAlignment="1">
      <x:alignment horizontal="center"/>
    </x:xf>
    <x:xf numFmtId="204" fontId="12" fillId="4" borderId="76" xfId="0" applyNumberFormat="1" applyFont="1" applyFill="1" applyBorder="1" applyAlignment="1">
      <x:alignment horizontal="center" vertical="center"/>
    </x:xf>
    <x:xf numFmtId="204" fontId="12" fillId="4" borderId="77" xfId="0" applyNumberFormat="1" applyFont="1" applyFill="1" applyBorder="1" applyAlignment="1">
      <x:alignment horizontal="center" vertical="center"/>
    </x:xf>
    <x:xf numFmtId="204" fontId="12" fillId="4" borderId="78" xfId="0" applyNumberFormat="1" applyFont="1" applyFill="1" applyBorder="1" applyAlignment="1">
      <x:alignment horizontal="center" vertical="center"/>
    </x:xf>
    <x:xf numFmtId="204" fontId="12" fillId="4" borderId="79" xfId="0" applyNumberFormat="1" applyFont="1" applyFill="1" applyBorder="1" applyAlignment="1">
      <x:alignment horizontal="center" vertical="center"/>
    </x:xf>
    <x:xf numFmtId="204" fontId="12" fillId="4" borderId="80" xfId="0" applyNumberFormat="1" applyFont="1" applyFill="1" applyBorder="1" applyAlignment="1">
      <x:alignment horizontal="center" vertical="center"/>
    </x:xf>
    <x:xf numFmtId="204" fontId="12" fillId="4" borderId="81" xfId="0" applyNumberFormat="1" applyFont="1" applyFill="1" applyBorder="1" applyAlignment="1">
      <x:alignment horizontal="center" vertical="center"/>
    </x:xf>
    <x:xf numFmtId="204" fontId="12" fillId="4" borderId="82" xfId="0" applyNumberFormat="1" applyFont="1" applyFill="1" applyBorder="1" applyAlignment="1">
      <x:alignment horizontal="center" vertical="center"/>
    </x:xf>
    <x:xf numFmtId="204" fontId="12" fillId="4" borderId="83" xfId="0" applyNumberFormat="1" applyFont="1" applyFill="1" applyBorder="1" applyAlignment="1">
      <x:alignment horizontal="center" vertical="center"/>
    </x:xf>
    <x:xf numFmtId="204" fontId="12" fillId="4" borderId="84" xfId="0" applyNumberFormat="1" applyFont="1" applyFill="1" applyBorder="1" applyAlignment="1">
      <x:alignment horizontal="center" vertical="center"/>
    </x:xf>
    <x:xf numFmtId="204" fontId="12" fillId="4" borderId="85" xfId="0" applyNumberFormat="1" applyFont="1" applyFill="1" applyBorder="1" applyAlignment="1">
      <x:alignment horizontal="center" vertical="center"/>
    </x:xf>
    <x:xf numFmtId="204" fontId="12" fillId="4" borderId="86" xfId="0" applyNumberFormat="1" applyFont="1" applyFill="1" applyBorder="1" applyAlignment="1">
      <x:alignment horizontal="center" vertical="center"/>
    </x:xf>
    <x:xf numFmtId="204" fontId="12" fillId="4" borderId="8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0" fillId="0" borderId="88" xfId="0" applyNumberFormat="1" applyFont="1" applyFill="1" applyBorder="1"/>
    <x:xf numFmtId="0" fontId="0" fillId="0" borderId="11" xfId="0" applyNumberFormat="1" applyFont="1" applyFill="1" applyBorder="1"/>
    <x:xf numFmtId="0" fontId="0" fillId="0" borderId="89" xfId="0" applyNumberFormat="1" applyFont="1" applyFill="1" applyBorder="1"/>
    <x:xf numFmtId="0" fontId="0" fillId="0" borderId="15" xfId="0" applyNumberFormat="1" applyFont="1" applyFill="1" applyBorder="1"/>
    <x:xf numFmtId="203" fontId="0" fillId="0" borderId="88" xfId="0" applyNumberFormat="1" applyFont="1" applyFill="1" applyBorder="1"/>
    <x:xf numFmtId="203" fontId="0" fillId="0" borderId="11" xfId="0" applyNumberFormat="1" applyFont="1" applyFill="1" applyBorder="1"/>
    <x:xf numFmtId="203" fontId="0" fillId="0" borderId="89" xfId="0" applyNumberFormat="1" applyFont="1" applyFill="1" applyBorder="1"/>
    <x:xf numFmtId="203" fontId="0" fillId="0" borderId="15" xfId="0" applyNumberFormat="1" applyFont="1" applyFill="1" applyBorder="1"/>
    <x:xf numFmtId="201" fontId="0" fillId="0" borderId="88" xfId="0" applyNumberFormat="1" applyFont="1" applyFill="1" applyBorder="1"/>
    <x:xf numFmtId="201" fontId="0" fillId="0" borderId="11" xfId="0" applyNumberFormat="1" applyFont="1" applyFill="1" applyBorder="1"/>
    <x:xf numFmtId="201" fontId="0" fillId="0" borderId="89" xfId="0" applyNumberFormat="1" applyFont="1" applyFill="1" applyBorder="1"/>
    <x:xf numFmtId="201" fontId="0" fillId="0" borderId="15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9" borderId="0" xfId="0" applyNumberFormat="1" applyFont="1" applyFill="1" applyBorder="1"/>
    <x:xf numFmtId="0" fontId="1" fillId="9" borderId="1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wrapText="1"/>
    </x:xf>
    <x:xf numFmtId="204" fontId="0" fillId="0" borderId="88" xfId="0" applyNumberFormat="1" applyFont="1" applyFill="1" applyBorder="1"/>
    <x:xf numFmtId="204" fontId="0" fillId="0" borderId="11" xfId="0" applyNumberFormat="1" applyFont="1" applyFill="1" applyBorder="1"/>
    <x:xf numFmtId="204" fontId="0" fillId="0" borderId="89" xfId="0" applyNumberFormat="1" applyFont="1" applyFill="1" applyBorder="1"/>
    <x:xf numFmtId="204" fontId="0" fillId="0" borderId="15" xfId="0" applyNumberFormat="1" applyFont="1" applyFill="1" applyBorder="1"/>
    <x:xf numFmtId="0" fontId="13" fillId="2" borderId="0" xfId="0" applyNumberFormat="1" applyFont="1" applyFill="1" applyBorder="1"/>
    <x:xf numFmtId="0" fontId="13" fillId="2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88" xfId="0" applyNumberFormat="1" applyFont="1" applyFill="1" applyBorder="1"/>
    <x:xf numFmtId="0" fontId="2" fillId="4" borderId="11" xfId="0" applyNumberFormat="1" applyFont="1" applyFill="1" applyBorder="1"/>
    <x:xf numFmtId="0" fontId="2" fillId="4" borderId="89" xfId="0" applyNumberFormat="1" applyFont="1" applyFill="1" applyBorder="1"/>
    <x:xf numFmtId="0" fontId="2" fillId="4" borderId="15" xfId="0" applyNumberFormat="1" applyFont="1" applyFill="1" applyBorder="1"/>
    <x:xf numFmtId="0" fontId="2" fillId="4" borderId="88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89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14" fillId="2" borderId="0" xfId="0" applyNumberFormat="1" applyFont="1" applyFill="1" applyBorder="1" applyAlignment="1">
      <x:alignment horizontal="left" vertical="center"/>
    </x:xf>
    <x:xf numFmtId="0" fontId="15" fillId="3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/>
    <x:xf numFmtId="0" fontId="17" fillId="3" borderId="16" xfId="0" applyNumberFormat="1" applyFont="1" applyFill="1" applyBorder="1" applyAlignment="1">
      <x:alignment horizontal="center" vertical="center"/>
    </x:xf>
    <x:xf numFmtId="0" fontId="17" fillId="3" borderId="17" xfId="0" applyNumberFormat="1" applyFont="1" applyFill="1" applyBorder="1" applyAlignment="1">
      <x:alignment horizontal="center" vertical="center"/>
    </x:xf>
    <x:xf numFmtId="0" fontId="17" fillId="3" borderId="18" xfId="0" applyNumberFormat="1" applyFont="1" applyFill="1" applyBorder="1" applyAlignment="1">
      <x:alignment horizontal="center" vertical="center"/>
    </x:xf>
    <x:xf numFmtId="0" fontId="18" fillId="5" borderId="34" xfId="0" applyNumberFormat="1" applyFont="1" applyFill="1" applyBorder="1" applyAlignment="1">
      <x:alignment horizontal="center" vertical="center"/>
    </x:xf>
    <x:xf numFmtId="0" fontId="18" fillId="5" borderId="35" xfId="0" applyNumberFormat="1" applyFont="1" applyFill="1" applyBorder="1" applyAlignment="1">
      <x:alignment horizontal="center" vertical="center"/>
    </x:xf>
    <x:xf numFmtId="0" fontId="18" fillId="5" borderId="36" xfId="0" applyNumberFormat="1" applyFont="1" applyFill="1" applyBorder="1" applyAlignment="1">
      <x:alignment horizontal="center" vertical="center"/>
    </x:xf>
    <x:xf numFmtId="0" fontId="19" fillId="6" borderId="52" xfId="0" applyNumberFormat="1" applyFont="1" applyFill="1" applyBorder="1" applyAlignment="1">
      <x:alignment horizontal="center" vertical="center"/>
    </x:xf>
    <x:xf numFmtId="0" fontId="19" fillId="6" borderId="53" xfId="0" applyNumberFormat="1" applyFont="1" applyFill="1" applyBorder="1" applyAlignment="1">
      <x:alignment horizontal="center" vertical="center"/>
    </x:xf>
    <x:xf numFmtId="0" fontId="19" fillId="6" borderId="54" xfId="0" applyNumberFormat="1" applyFont="1" applyFill="1" applyBorder="1" applyAlignment="1">
      <x:alignment horizontal="center" vertical="center"/>
    </x:xf>
    <x:xf numFmtId="0" fontId="20" fillId="7" borderId="70" xfId="0" applyNumberFormat="1" applyFont="1" applyFill="1" applyBorder="1" applyAlignment="1">
      <x:alignment horizontal="center" vertical="center"/>
    </x:xf>
    <x:xf numFmtId="0" fontId="20" fillId="7" borderId="71" xfId="0" applyNumberFormat="1" applyFont="1" applyFill="1" applyBorder="1" applyAlignment="1">
      <x:alignment horizontal="center" vertical="center"/>
    </x:xf>
    <x:xf numFmtId="0" fontId="20" fillId="7" borderId="72" xfId="0" applyNumberFormat="1" applyFont="1" applyFill="1" applyBorder="1" applyAlignment="1">
      <x:alignment horizontal="center" vertical="center"/>
    </x:xf>
    <x:xf numFmtId="201" fontId="21" fillId="4" borderId="22" xfId="0" applyNumberFormat="1" applyFont="1" applyFill="1" applyBorder="1" applyAlignment="1">
      <x:alignment horizontal="center" vertical="center"/>
    </x:xf>
    <x:xf numFmtId="201" fontId="21" fillId="4" borderId="23" xfId="0" applyNumberFormat="1" applyFont="1" applyFill="1" applyBorder="1" applyAlignment="1">
      <x:alignment horizontal="center" vertical="center"/>
    </x:xf>
    <x:xf numFmtId="201" fontId="21" fillId="4" borderId="24" xfId="0" applyNumberFormat="1" applyFont="1" applyFill="1" applyBorder="1" applyAlignment="1">
      <x:alignment horizontal="center" vertical="center"/>
    </x:xf>
    <x:xf numFmtId="203" fontId="22" fillId="4" borderId="40" xfId="0" applyNumberFormat="1" applyFont="1" applyFill="1" applyBorder="1" applyAlignment="1">
      <x:alignment horizontal="center" vertical="center"/>
    </x:xf>
    <x:xf numFmtId="203" fontId="22" fillId="4" borderId="41" xfId="0" applyNumberFormat="1" applyFont="1" applyFill="1" applyBorder="1" applyAlignment="1">
      <x:alignment horizontal="center" vertical="center"/>
    </x:xf>
    <x:xf numFmtId="203" fontId="22" fillId="4" borderId="42" xfId="0" applyNumberFormat="1" applyFont="1" applyFill="1" applyBorder="1" applyAlignment="1">
      <x:alignment horizontal="center" vertical="center"/>
    </x:xf>
    <x:xf numFmtId="203" fontId="23" fillId="4" borderId="58" xfId="0" applyNumberFormat="1" applyFont="1" applyFill="1" applyBorder="1" applyAlignment="1">
      <x:alignment horizontal="center" vertical="center"/>
    </x:xf>
    <x:xf numFmtId="203" fontId="23" fillId="4" borderId="59" xfId="0" applyNumberFormat="1" applyFont="1" applyFill="1" applyBorder="1" applyAlignment="1">
      <x:alignment horizontal="center" vertical="center"/>
    </x:xf>
    <x:xf numFmtId="203" fontId="23" fillId="4" borderId="60" xfId="0" applyNumberFormat="1" applyFont="1" applyFill="1" applyBorder="1" applyAlignment="1">
      <x:alignment horizontal="center" vertical="center"/>
    </x:xf>
    <x:xf numFmtId="204" fontId="24" fillId="4" borderId="76" xfId="0" applyNumberFormat="1" applyFont="1" applyFill="1" applyBorder="1" applyAlignment="1">
      <x:alignment horizontal="center" vertical="center"/>
    </x:xf>
    <x:xf numFmtId="204" fontId="24" fillId="4" borderId="77" xfId="0" applyNumberFormat="1" applyFont="1" applyFill="1" applyBorder="1" applyAlignment="1">
      <x:alignment horizontal="center" vertical="center"/>
    </x:xf>
    <x:xf numFmtId="204" fontId="24" fillId="4" borderId="78" xfId="0" applyNumberFormat="1" applyFont="1" applyFill="1" applyBorder="1" applyAlignment="1">
      <x:alignment horizontal="center" vertical="center"/>
    </x:xf>
    <x:xf numFmtId="201" fontId="21" fillId="4" borderId="25" xfId="0" applyNumberFormat="1" applyFont="1" applyFill="1" applyBorder="1" applyAlignment="1">
      <x:alignment horizontal="center" vertical="center"/>
    </x:xf>
    <x:xf numFmtId="201" fontId="21" fillId="4" borderId="26" xfId="0" applyNumberFormat="1" applyFont="1" applyFill="1" applyBorder="1" applyAlignment="1">
      <x:alignment horizontal="center" vertical="center"/>
    </x:xf>
    <x:xf numFmtId="201" fontId="21" fillId="4" borderId="27" xfId="0" applyNumberFormat="1" applyFont="1" applyFill="1" applyBorder="1" applyAlignment="1">
      <x:alignment horizontal="center" vertical="center"/>
    </x:xf>
    <x:xf numFmtId="203" fontId="22" fillId="4" borderId="43" xfId="0" applyNumberFormat="1" applyFont="1" applyFill="1" applyBorder="1" applyAlignment="1">
      <x:alignment horizontal="center" vertical="center"/>
    </x:xf>
    <x:xf numFmtId="203" fontId="22" fillId="4" borderId="44" xfId="0" applyNumberFormat="1" applyFont="1" applyFill="1" applyBorder="1" applyAlignment="1">
      <x:alignment horizontal="center" vertical="center"/>
    </x:xf>
    <x:xf numFmtId="203" fontId="22" fillId="4" borderId="45" xfId="0" applyNumberFormat="1" applyFont="1" applyFill="1" applyBorder="1" applyAlignment="1">
      <x:alignment horizontal="center" vertical="center"/>
    </x:xf>
    <x:xf numFmtId="203" fontId="23" fillId="4" borderId="61" xfId="0" applyNumberFormat="1" applyFont="1" applyFill="1" applyBorder="1" applyAlignment="1">
      <x:alignment horizontal="center" vertical="center"/>
    </x:xf>
    <x:xf numFmtId="203" fontId="23" fillId="4" borderId="62" xfId="0" applyNumberFormat="1" applyFont="1" applyFill="1" applyBorder="1" applyAlignment="1">
      <x:alignment horizontal="center" vertical="center"/>
    </x:xf>
    <x:xf numFmtId="203" fontId="23" fillId="4" borderId="63" xfId="0" applyNumberFormat="1" applyFont="1" applyFill="1" applyBorder="1" applyAlignment="1">
      <x:alignment horizontal="center" vertical="center"/>
    </x:xf>
    <x:xf numFmtId="204" fontId="24" fillId="4" borderId="79" xfId="0" applyNumberFormat="1" applyFont="1" applyFill="1" applyBorder="1" applyAlignment="1">
      <x:alignment horizontal="center" vertical="center"/>
    </x:xf>
    <x:xf numFmtId="204" fontId="24" fillId="4" borderId="80" xfId="0" applyNumberFormat="1" applyFont="1" applyFill="1" applyBorder="1" applyAlignment="1">
      <x:alignment horizontal="center" vertical="center"/>
    </x:xf>
    <x:xf numFmtId="204" fontId="24" fillId="4" borderId="81" xfId="0" applyNumberFormat="1" applyFont="1" applyFill="1" applyBorder="1" applyAlignment="1">
      <x:alignment horizontal="center" vertical="center"/>
    </x:xf>
    <x:xf numFmtId="0" fontId="25" fillId="8" borderId="0" xfId="0" applyNumberFormat="1" applyFont="1" applyFill="1" applyBorder="1" applyAlignment="1">
      <x:alignment wrapText="1"/>
    </x:xf>
    <x:xf numFmtId="0" fontId="16" fillId="0" borderId="88" xfId="0" applyNumberFormat="1" applyFont="1" applyFill="1" applyBorder="1"/>
    <x:xf numFmtId="203" fontId="16" fillId="0" borderId="88" xfId="0" applyNumberFormat="1" applyFont="1" applyFill="1" applyBorder="1"/>
    <x:xf numFmtId="201" fontId="16" fillId="0" borderId="88" xfId="0" applyNumberFormat="1" applyFont="1" applyFill="1" applyBorder="1"/>
    <x:xf numFmtId="0" fontId="16" fillId="0" borderId="11" xfId="0" applyNumberFormat="1" applyFont="1" applyFill="1" applyBorder="1"/>
    <x:xf numFmtId="203" fontId="16" fillId="0" borderId="11" xfId="0" applyNumberFormat="1" applyFont="1" applyFill="1" applyBorder="1"/>
    <x:xf numFmtId="201" fontId="16" fillId="0" borderId="11" xfId="0" applyNumberFormat="1" applyFont="1" applyFill="1" applyBorder="1"/>
    <x:xf numFmtId="0" fontId="25" fillId="9" borderId="0" xfId="0" applyNumberFormat="1" applyFont="1" applyFill="1" applyBorder="1" applyAlignment="1">
      <x:alignment wrapText="1"/>
    </x:xf>
    <x:xf numFmtId="204" fontId="16" fillId="0" borderId="88" xfId="0" applyNumberFormat="1" applyFont="1" applyFill="1" applyBorder="1"/>
    <x:xf numFmtId="204" fontId="16" fillId="0" borderId="11" xfId="0" applyNumberFormat="1" applyFont="1" applyFill="1" applyBorder="1"/>
    <x:xf numFmtId="0" fontId="26" fillId="2" borderId="0" xfId="0" applyNumberFormat="1" applyFont="1" applyFill="1" applyBorder="1"/>
    <x:xf numFmtId="0" fontId="27" fillId="4" borderId="88" xfId="0" applyNumberFormat="1" applyFont="1" applyFill="1" applyBorder="1" applyAlignment="1">
      <x:alignment wrapText="1"/>
    </x:xf>
    <x:xf numFmtId="0" fontId="27" fillId="4" borderId="11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horizontal="left" vertical="center"/>
    </x:xf>
    <x:xf numFmtId="0" fontId="15" fillId="3" borderId="1" xfId="0" applyNumberFormat="1" applyFont="1" applyFill="1" applyBorder="1" applyAlignment="1">
      <x:alignment vertical="center"/>
    </x:xf>
    <x:xf numFmtId="0" fontId="16" fillId="0" borderId="1" xfId="0" applyNumberFormat="1" applyFont="1" applyFill="1" applyBorder="1"/>
    <x:xf numFmtId="0" fontId="17" fillId="3" borderId="19" xfId="0" applyNumberFormat="1" applyFont="1" applyFill="1" applyBorder="1" applyAlignment="1">
      <x:alignment horizontal="center" vertical="center"/>
    </x:xf>
    <x:xf numFmtId="0" fontId="17" fillId="3" borderId="20" xfId="0" applyNumberFormat="1" applyFont="1" applyFill="1" applyBorder="1" applyAlignment="1">
      <x:alignment horizontal="center" vertical="center"/>
    </x:xf>
    <x:xf numFmtId="0" fontId="17" fillId="3" borderId="21" xfId="0" applyNumberFormat="1" applyFont="1" applyFill="1" applyBorder="1" applyAlignment="1">
      <x:alignment horizontal="center" vertical="center"/>
    </x:xf>
    <x:xf numFmtId="0" fontId="18" fillId="5" borderId="37" xfId="0" applyNumberFormat="1" applyFont="1" applyFill="1" applyBorder="1" applyAlignment="1">
      <x:alignment horizontal="center" vertical="center"/>
    </x:xf>
    <x:xf numFmtId="0" fontId="18" fillId="5" borderId="38" xfId="0" applyNumberFormat="1" applyFont="1" applyFill="1" applyBorder="1" applyAlignment="1">
      <x:alignment horizontal="center" vertical="center"/>
    </x:xf>
    <x:xf numFmtId="0" fontId="18" fillId="5" borderId="39" xfId="0" applyNumberFormat="1" applyFont="1" applyFill="1" applyBorder="1" applyAlignment="1">
      <x:alignment horizontal="center" vertical="center"/>
    </x:xf>
    <x:xf numFmtId="0" fontId="19" fillId="6" borderId="55" xfId="0" applyNumberFormat="1" applyFont="1" applyFill="1" applyBorder="1" applyAlignment="1">
      <x:alignment horizontal="center" vertical="center"/>
    </x:xf>
    <x:xf numFmtId="0" fontId="19" fillId="6" borderId="56" xfId="0" applyNumberFormat="1" applyFont="1" applyFill="1" applyBorder="1" applyAlignment="1">
      <x:alignment horizontal="center" vertical="center"/>
    </x:xf>
    <x:xf numFmtId="0" fontId="19" fillId="6" borderId="57" xfId="0" applyNumberFormat="1" applyFont="1" applyFill="1" applyBorder="1" applyAlignment="1">
      <x:alignment horizontal="center" vertical="center"/>
    </x:xf>
    <x:xf numFmtId="0" fontId="20" fillId="7" borderId="73" xfId="0" applyNumberFormat="1" applyFont="1" applyFill="1" applyBorder="1" applyAlignment="1">
      <x:alignment horizontal="center" vertical="center"/>
    </x:xf>
    <x:xf numFmtId="0" fontId="20" fillId="7" borderId="74" xfId="0" applyNumberFormat="1" applyFont="1" applyFill="1" applyBorder="1" applyAlignment="1">
      <x:alignment horizontal="center" vertical="center"/>
    </x:xf>
    <x:xf numFmtId="0" fontId="20" fillId="7" borderId="75" xfId="0" applyNumberFormat="1" applyFont="1" applyFill="1" applyBorder="1" applyAlignment="1">
      <x:alignment horizontal="center" vertical="center"/>
    </x:xf>
    <x:xf numFmtId="201" fontId="21" fillId="4" borderId="28" xfId="0" applyNumberFormat="1" applyFont="1" applyFill="1" applyBorder="1" applyAlignment="1">
      <x:alignment horizontal="center" vertical="center"/>
    </x:xf>
    <x:xf numFmtId="201" fontId="21" fillId="4" borderId="29" xfId="0" applyNumberFormat="1" applyFont="1" applyFill="1" applyBorder="1" applyAlignment="1">
      <x:alignment horizontal="center" vertical="center"/>
    </x:xf>
    <x:xf numFmtId="201" fontId="21" fillId="4" borderId="30" xfId="0" applyNumberFormat="1" applyFont="1" applyFill="1" applyBorder="1" applyAlignment="1">
      <x:alignment horizontal="center" vertical="center"/>
    </x:xf>
    <x:xf numFmtId="203" fontId="22" fillId="4" borderId="46" xfId="0" applyNumberFormat="1" applyFont="1" applyFill="1" applyBorder="1" applyAlignment="1">
      <x:alignment horizontal="center" vertical="center"/>
    </x:xf>
    <x:xf numFmtId="203" fontId="22" fillId="4" borderId="47" xfId="0" applyNumberFormat="1" applyFont="1" applyFill="1" applyBorder="1" applyAlignment="1">
      <x:alignment horizontal="center" vertical="center"/>
    </x:xf>
    <x:xf numFmtId="203" fontId="22" fillId="4" borderId="48" xfId="0" applyNumberFormat="1" applyFont="1" applyFill="1" applyBorder="1" applyAlignment="1">
      <x:alignment horizontal="center" vertical="center"/>
    </x:xf>
    <x:xf numFmtId="203" fontId="23" fillId="4" borderId="64" xfId="0" applyNumberFormat="1" applyFont="1" applyFill="1" applyBorder="1" applyAlignment="1">
      <x:alignment horizontal="center" vertical="center"/>
    </x:xf>
    <x:xf numFmtId="203" fontId="23" fillId="4" borderId="65" xfId="0" applyNumberFormat="1" applyFont="1" applyFill="1" applyBorder="1" applyAlignment="1">
      <x:alignment horizontal="center" vertical="center"/>
    </x:xf>
    <x:xf numFmtId="203" fontId="23" fillId="4" borderId="66" xfId="0" applyNumberFormat="1" applyFont="1" applyFill="1" applyBorder="1" applyAlignment="1">
      <x:alignment horizontal="center" vertical="center"/>
    </x:xf>
    <x:xf numFmtId="204" fontId="24" fillId="4" borderId="82" xfId="0" applyNumberFormat="1" applyFont="1" applyFill="1" applyBorder="1" applyAlignment="1">
      <x:alignment horizontal="center" vertical="center"/>
    </x:xf>
    <x:xf numFmtId="204" fontId="24" fillId="4" borderId="83" xfId="0" applyNumberFormat="1" applyFont="1" applyFill="1" applyBorder="1" applyAlignment="1">
      <x:alignment horizontal="center" vertical="center"/>
    </x:xf>
    <x:xf numFmtId="204" fontId="24" fillId="4" borderId="84" xfId="0" applyNumberFormat="1" applyFont="1" applyFill="1" applyBorder="1" applyAlignment="1">
      <x:alignment horizontal="center" vertical="center"/>
    </x:xf>
    <x:xf numFmtId="201" fontId="21" fillId="4" borderId="31" xfId="0" applyNumberFormat="1" applyFont="1" applyFill="1" applyBorder="1" applyAlignment="1">
      <x:alignment horizontal="center" vertical="center"/>
    </x:xf>
    <x:xf numFmtId="201" fontId="21" fillId="4" borderId="32" xfId="0" applyNumberFormat="1" applyFont="1" applyFill="1" applyBorder="1" applyAlignment="1">
      <x:alignment horizontal="center" vertical="center"/>
    </x:xf>
    <x:xf numFmtId="201" fontId="21" fillId="4" borderId="33" xfId="0" applyNumberFormat="1" applyFont="1" applyFill="1" applyBorder="1" applyAlignment="1">
      <x:alignment horizontal="center" vertical="center"/>
    </x:xf>
    <x:xf numFmtId="203" fontId="22" fillId="4" borderId="49" xfId="0" applyNumberFormat="1" applyFont="1" applyFill="1" applyBorder="1" applyAlignment="1">
      <x:alignment horizontal="center" vertical="center"/>
    </x:xf>
    <x:xf numFmtId="203" fontId="22" fillId="4" borderId="50" xfId="0" applyNumberFormat="1" applyFont="1" applyFill="1" applyBorder="1" applyAlignment="1">
      <x:alignment horizontal="center" vertical="center"/>
    </x:xf>
    <x:xf numFmtId="203" fontId="22" fillId="4" borderId="51" xfId="0" applyNumberFormat="1" applyFont="1" applyFill="1" applyBorder="1" applyAlignment="1">
      <x:alignment horizontal="center" vertical="center"/>
    </x:xf>
    <x:xf numFmtId="203" fontId="23" fillId="4" borderId="67" xfId="0" applyNumberFormat="1" applyFont="1" applyFill="1" applyBorder="1" applyAlignment="1">
      <x:alignment horizontal="center" vertical="center"/>
    </x:xf>
    <x:xf numFmtId="203" fontId="23" fillId="4" borderId="68" xfId="0" applyNumberFormat="1" applyFont="1" applyFill="1" applyBorder="1" applyAlignment="1">
      <x:alignment horizontal="center" vertical="center"/>
    </x:xf>
    <x:xf numFmtId="203" fontId="23" fillId="4" borderId="69" xfId="0" applyNumberFormat="1" applyFont="1" applyFill="1" applyBorder="1" applyAlignment="1">
      <x:alignment horizontal="center" vertical="center"/>
    </x:xf>
    <x:xf numFmtId="204" fontId="24" fillId="4" borderId="85" xfId="0" applyNumberFormat="1" applyFont="1" applyFill="1" applyBorder="1" applyAlignment="1">
      <x:alignment horizontal="center" vertical="center"/>
    </x:xf>
    <x:xf numFmtId="204" fontId="24" fillId="4" borderId="86" xfId="0" applyNumberFormat="1" applyFont="1" applyFill="1" applyBorder="1" applyAlignment="1">
      <x:alignment horizontal="center" vertical="center"/>
    </x:xf>
    <x:xf numFmtId="204" fontId="24" fillId="4" borderId="87" xfId="0" applyNumberFormat="1" applyFont="1" applyFill="1" applyBorder="1" applyAlignment="1">
      <x:alignment horizontal="center" vertical="center"/>
    </x:xf>
    <x:xf numFmtId="0" fontId="25" fillId="8" borderId="1" xfId="0" applyNumberFormat="1" applyFont="1" applyFill="1" applyBorder="1" applyAlignment="1">
      <x:alignment wrapText="1"/>
    </x:xf>
    <x:xf numFmtId="0" fontId="16" fillId="0" borderId="89" xfId="0" applyNumberFormat="1" applyFont="1" applyFill="1" applyBorder="1"/>
    <x:xf numFmtId="203" fontId="16" fillId="0" borderId="89" xfId="0" applyNumberFormat="1" applyFont="1" applyFill="1" applyBorder="1"/>
    <x:xf numFmtId="201" fontId="16" fillId="0" borderId="89" xfId="0" applyNumberFormat="1" applyFont="1" applyFill="1" applyBorder="1"/>
    <x:xf numFmtId="0" fontId="16" fillId="0" borderId="15" xfId="0" applyNumberFormat="1" applyFont="1" applyFill="1" applyBorder="1"/>
    <x:xf numFmtId="203" fontId="16" fillId="0" borderId="15" xfId="0" applyNumberFormat="1" applyFont="1" applyFill="1" applyBorder="1"/>
    <x:xf numFmtId="201" fontId="16" fillId="0" borderId="15" xfId="0" applyNumberFormat="1" applyFont="1" applyFill="1" applyBorder="1"/>
    <x:xf numFmtId="0" fontId="25" fillId="9" borderId="1" xfId="0" applyNumberFormat="1" applyFont="1" applyFill="1" applyBorder="1" applyAlignment="1">
      <x:alignment wrapText="1"/>
    </x:xf>
    <x:xf numFmtId="204" fontId="16" fillId="0" borderId="89" xfId="0" applyNumberFormat="1" applyFont="1" applyFill="1" applyBorder="1"/>
    <x:xf numFmtId="204" fontId="16" fillId="0" borderId="15" xfId="0" applyNumberFormat="1" applyFont="1" applyFill="1" applyBorder="1"/>
    <x:xf numFmtId="0" fontId="26" fillId="2" borderId="1" xfId="0" applyNumberFormat="1" applyFont="1" applyFill="1" applyBorder="1"/>
    <x:xf numFmtId="0" fontId="27" fillId="4" borderId="89" xfId="0" applyNumberFormat="1" applyFont="1" applyFill="1" applyBorder="1" applyAlignment="1">
      <x:alignment wrapText="1"/>
    </x:xf>
    <x:xf numFmtId="0" fontId="27" fillId="4" borderId="15" xfId="0" applyNumberFormat="1" applyFont="1" applyFill="1" applyBorder="1" applyAlignment="1">
      <x:alignment wrapText="1"/>
    </x:xf>
    <x:xf numFmtId="0" fontId="28" fillId="2" borderId="0" xfId="0" applyNumberFormat="1" applyFont="1" applyFill="1" applyBorder="1"/>
    <x:xf numFmtId="0" fontId="28" fillId="2" borderId="1" xfId="0" applyNumberFormat="1" applyFont="1" applyFill="1" applyBorder="1"/>
    <x:xf numFmtId="0" fontId="28" fillId="2" borderId="0" xfId="0" applyNumberFormat="1" applyFont="1" applyFill="1" applyBorder="1" applyAlignment="1">
      <x:alignment vertical="center"/>
    </x:xf>
    <x:xf numFmtId="0" fontId="28" fillId="2" borderId="1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/>
    <x:xf numFmtId="0" fontId="13" fillId="8" borderId="1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0" fontId="13" fillId="8" borderId="1" xfId="0" applyNumberFormat="1" applyFont="1" applyFill="1" applyBorder="1" applyAlignment="1">
      <x:alignment wrapText="1"/>
    </x:xf>
    <x:xf numFmtId="0" fontId="29" fillId="0" borderId="0" xfId="0" applyNumberFormat="1" applyFont="1" applyFill="1" applyBorder="1"/>
    <x:xf numFmtId="0" fontId="29" fillId="0" borderId="1" xfId="0" applyNumberFormat="1" applyFont="1" applyFill="1" applyBorder="1"/>
    <x:xf numFmtId="0" fontId="29" fillId="0" borderId="88" xfId="0" applyNumberFormat="1" applyFont="1" applyFill="1" applyBorder="1"/>
    <x:xf numFmtId="0" fontId="29" fillId="0" borderId="11" xfId="0" applyNumberFormat="1" applyFont="1" applyFill="1" applyBorder="1"/>
    <x:xf numFmtId="0" fontId="29" fillId="0" borderId="89" xfId="0" applyNumberFormat="1" applyFont="1" applyFill="1" applyBorder="1"/>
    <x:xf numFmtId="0" fontId="29" fillId="0" borderId="15" xfId="0" applyNumberFormat="1" applyFont="1" applyFill="1" applyBorder="1"/>
    <x:xf numFmtId="0" fontId="29" fillId="0" borderId="88" xfId="0" applyNumberFormat="1" applyFont="1" applyFill="1" applyBorder="1" applyAlignment="1">
      <x:alignment wrapText="1"/>
    </x:xf>
    <x:xf numFmtId="0" fontId="29" fillId="0" borderId="11" xfId="0" applyNumberFormat="1" applyFont="1" applyFill="1" applyBorder="1" applyAlignment="1">
      <x:alignment wrapText="1"/>
    </x:xf>
    <x:xf numFmtId="0" fontId="29" fillId="0" borderId="89" xfId="0" applyNumberFormat="1" applyFont="1" applyFill="1" applyBorder="1" applyAlignment="1">
      <x:alignment wrapText="1"/>
    </x:xf>
    <x:xf numFmtId="0" fontId="29" fillId="0" borderId="15" xfId="0" applyNumberFormat="1" applyFont="1" applyFill="1" applyBorder="1" applyAlignment="1">
      <x:alignment wrapText="1"/>
    </x:xf>
    <x:xf numFmtId="0" fontId="30" fillId="7" borderId="0" xfId="0" applyNumberFormat="1" applyFont="1" applyFill="1" applyBorder="1"/>
    <x:xf numFmtId="0" fontId="30" fillId="7" borderId="1" xfId="0" applyNumberFormat="1" applyFont="1" applyFill="1" applyBorder="1"/>
    <x:xf numFmtId="0" fontId="30" fillId="7" borderId="0" xfId="0" applyNumberFormat="1" applyFont="1" applyFill="1" applyBorder="1" applyAlignment="1">
      <x:alignment wrapText="1"/>
    </x:xf>
    <x:xf numFmtId="0" fontId="30" fillId="7" borderId="1" xfId="0" applyNumberFormat="1" applyFont="1" applyFill="1" applyBorder="1" applyAlignment="1">
      <x:alignment wrapText="1"/>
    </x:xf>
    <x:xf numFmtId="0" fontId="31" fillId="3" borderId="0" xfId="0" applyNumberFormat="1" applyFont="1" applyFill="1" applyBorder="1"/>
    <x:xf numFmtId="0" fontId="31" fillId="3" borderId="1" xfId="0" applyNumberFormat="1" applyFont="1" applyFill="1" applyBorder="1"/>
    <x:xf numFmtId="0" fontId="31" fillId="3" borderId="0" xfId="0" applyNumberFormat="1" applyFont="1" applyFill="1" applyBorder="1" applyAlignment="1">
      <x:alignment wrapText="1"/>
    </x:xf>
    <x:xf numFmtId="0" fontId="31" fillId="3" borderId="1" xfId="0" applyNumberFormat="1" applyFont="1" applyFill="1" applyBorder="1" applyAlignment="1">
      <x:alignment wrapText="1"/>
    </x:xf>
    <x:xf numFmtId="0" fontId="32" fillId="0" borderId="0" xfId="0" applyNumberFormat="1" applyFont="1" applyFill="1" applyBorder="1"/>
    <x:xf numFmtId="0" fontId="32" fillId="0" borderId="1" xfId="0" applyNumberFormat="1" applyFont="1" applyFill="1" applyBorder="1"/>
    <x:xf numFmtId="0" fontId="32" fillId="0" borderId="0" xfId="0" applyNumberFormat="1" applyFont="1" applyFill="1" applyBorder="1" applyAlignment="1">
      <x:alignment wrapText="1"/>
    </x:xf>
    <x:xf numFmtId="0" fontId="32" fillId="0" borderId="1" xfId="0" applyNumberFormat="1" applyFont="1" applyFill="1" applyBorder="1" applyAlignment="1">
      <x:alignment wrapText="1"/>
    </x:xf>
    <x:xf numFmtId="0" fontId="31" fillId="3" borderId="88" xfId="0" applyNumberFormat="1" applyFont="1" applyFill="1" applyBorder="1" applyAlignment="1">
      <x:alignment wrapText="1"/>
    </x:xf>
    <x:xf numFmtId="0" fontId="32" fillId="0" borderId="88" xfId="0" applyNumberFormat="1" applyFont="1" applyFill="1" applyBorder="1" applyAlignment="1">
      <x:alignment wrapText="1"/>
    </x:xf>
    <x:xf numFmtId="0" fontId="31" fillId="3" borderId="11" xfId="0" applyNumberFormat="1" applyFont="1" applyFill="1" applyBorder="1" applyAlignment="1">
      <x:alignment wrapText="1"/>
    </x:xf>
    <x:xf numFmtId="0" fontId="32" fillId="0" borderId="11" xfId="0" applyNumberFormat="1" applyFont="1" applyFill="1" applyBorder="1" applyAlignment="1">
      <x:alignment wrapText="1"/>
    </x:xf>
    <x:xf numFmtId="0" fontId="31" fillId="3" borderId="89" xfId="0" applyNumberFormat="1" applyFont="1" applyFill="1" applyBorder="1" applyAlignment="1">
      <x:alignment wrapText="1"/>
    </x:xf>
    <x:xf numFmtId="0" fontId="32" fillId="0" borderId="89" xfId="0" applyNumberFormat="1" applyFont="1" applyFill="1" applyBorder="1" applyAlignment="1">
      <x:alignment wrapText="1"/>
    </x:xf>
    <x:xf numFmtId="0" fontId="31" fillId="3" borderId="15" xfId="0" applyNumberFormat="1" applyFont="1" applyFill="1" applyBorder="1" applyAlignment="1">
      <x:alignment wrapText="1"/>
    </x:xf>
    <x:xf numFmtId="0" fontId="32" fillId="0" borderId="15" xfId="0" applyNumberFormat="1" applyFont="1" applyFill="1" applyBorder="1" applyAlignment="1">
      <x:alignment wrapText="1"/>
    </x:xf>
    <x:xf numFmtId="0" fontId="13" fillId="9" borderId="0" xfId="0" applyNumberFormat="1" applyFont="1" applyFill="1" applyBorder="1"/>
    <x:xf numFmtId="0" fontId="13" fillId="9" borderId="1" xfId="0" applyNumberFormat="1" applyFont="1" applyFill="1" applyBorder="1"/>
    <x:xf numFmtId="0" fontId="2" fillId="0" borderId="88" xfId="0" applyNumberFormat="1" applyFont="1" applyFill="1" applyBorder="1"/>
    <x:xf numFmtId="0" fontId="2" fillId="0" borderId="89" xfId="0" applyNumberFormat="1" applyFont="1" applyFill="1" applyBorder="1"/>
    <x:xf numFmtId="0" fontId="2" fillId="0" borderId="88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C00000"/>
      </x:font>
      <x:fill>
        <x:patternFill patternType="solid">
          <x:bgColor rgb="FFFDE9E7"/>
        </x:patternFill>
      </x:fill>
    </x:dxf>
    <x:dxf>
      <x:font>
        <x:b/>
        <x:color rgb="FF9C5700"/>
      </x:font>
      <x:fill>
        <x:patternFill patternType="solid">
          <x:bgColor rgb="FFFFF4E5"/>
        </x:patternFill>
      </x:fill>
    </x:dxf>
    <x:dxf>
      <x:font>
        <x:b/>
        <x:color rgb="FFC00000"/>
      </x:font>
      <x:fill>
        <x:patternFill patternType="solid">
          <x:bgColor rgb="FFFDE9E7"/>
        </x:patternFill>
      </x:fill>
    </x:dxf>
    <x:dxf>
      <x:font>
        <x:b/>
        <x:color rgb="FFC00000"/>
      </x:font>
      <x:fill>
        <x:patternFill patternType="solid">
          <x:bgColor rgb="FFFDE9E7"/>
        </x:patternFill>
      </x:fill>
    </x:dxf>
    <x:dxf>
      <x:font>
        <x:b/>
        <x:color rgb="FFC00000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1309093214ac2" /><Relationship Type="http://schemas.openxmlformats.org/officeDocument/2006/relationships/theme" Target="/xl/theme/theme1.xml" Id="Re684a670bfdd4d8f" /><Relationship Type="http://schemas.openxmlformats.org/officeDocument/2006/relationships/sharedStrings" Target="/xl/sharedStrings.xml" Id="R5978e846e0c24c21" /><Relationship Type="http://schemas.openxmlformats.org/officeDocument/2006/relationships/worksheet" Target="/xl/worksheets/sheet1.xml" Id="Rab1acdf29d3947c8" /><Relationship Type="http://schemas.openxmlformats.org/officeDocument/2006/relationships/worksheet" Target="/xl/worksheets/sheet2.xml" Id="Rd600789c325b4bc1" /><Relationship Type="http://schemas.openxmlformats.org/officeDocument/2006/relationships/worksheet" Target="/xl/worksheets/sheet3.xml" Id="Rdb23d1e38ebe419d" /><Relationship Type="http://schemas.openxmlformats.org/officeDocument/2006/relationships/worksheet" Target="/xl/worksheets/sheet4.xml" Id="R6fd0ec54972049d0" /><Relationship Type="http://schemas.microsoft.com/office/2017/10/relationships/person" Target="/xl/persons/person.xml" Id="R55beacb1f6aa4c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46962611494283" /><Relationship Type="http://schemas.openxmlformats.org/officeDocument/2006/relationships/chart" Target="/xl/drawings/charts/chart2.xml" Id="R1e0f9e844c3f44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Quality and SLA Trend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First-Pass Quality</c:v>
          </c:tx>
          <c:marker>
            <c:symbol val="none"/>
          </c:marker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'Dashboard'!$B$10:$B$21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SLA Attainment</c:v>
          </c:tx>
          <c:marker>
            <c:symbol val="none"/>
          </c:marker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'Dashboard'!$C$10:$C$21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.84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Team Productivity (Tasks/Hour)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Tasks/Hour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'Dashboard'!$A$26:$A$29</c:f>
              <c:strCache>
                <c:ptCount val="0"/>
              </c:strCache>
            </c:strRef>
          </c:cat>
          <c:val>
            <c:numRef>
              <c:f>'Dashboard'!$E$26:$E$29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46962611494283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15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0f9e844c3f4416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Jesse Tabler" id="{BF6AF4CC-F1B4-45FD-BB7F-B996A6DF2674}"/>
</xltc:personList>
</file>

<file path=xl/tables/table1.xml><?xml version="1.0" encoding="utf-8"?>
<x:table xmlns:x="http://schemas.openxmlformats.org/spreadsheetml/2006/main" id="1" name="WeeklyOperationsTable" displayName="WeeklyOperationsTable" ref="A1:Q49" headerRowCount="1" totalsRowCount="0" totalsRowShown="0">
  <x:tableColumns count="17">
    <x:tableColumn id="1" name="Week Start"/>
    <x:tableColumn id="2" name="Team"/>
    <x:tableColumn id="3" name="Active Staff"/>
    <x:tableColumn id="4" name="Hours Worked"/>
    <x:tableColumn id="5" name="Tasks Completed"/>
    <x:tableColumn id="6" name="Accepted First Pass"/>
    <x:tableColumn id="7" name="Reworked"/>
    <x:tableColumn id="8" name="Tasks Within SLA"/>
    <x:tableColumn id="9" name="Avg Handle Minutes"/>
    <x:tableColumn id="10" name="Escalations"/>
    <x:tableColumn id="11" name="Capacity Target"/>
    <x:tableColumn id="12" name="High-Risk Flags"/>
    <x:tableColumn id="13" name="First-Pass Quality"/>
    <x:tableColumn id="14" name="Rework Rate"/>
    <x:tableColumn id="15" name="SLA Attainment"/>
    <x:tableColumn id="16" name="Productivity (Tasks/Hour)"/>
    <x:tableColumn id="17" name="Capacity Utiliz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42f318539545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f7524c0210d48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5" hidden="0" customWidth="1"/>
    <x:col min="10" max="10" width="13" hidden="0" customWidth="1"/>
    <x:col min="11" max="11" width="13" hidden="0" customWidth="1"/>
    <x:col min="12" max="12" width="13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18" customHeight="1">
      <x:c r="A1" s="36" t="str">
        <x:v>Week Start</x:v>
      </x:c>
      <x:c r="B1" s="37" t="str">
        <x:v>Team</x:v>
      </x:c>
      <x:c r="C1" s="37" t="str">
        <x:v>Active Staff</x:v>
      </x:c>
      <x:c r="D1" s="37" t="str">
        <x:v>Hours Worked</x:v>
      </x:c>
      <x:c r="E1" s="37" t="str">
        <x:v>Tasks Completed</x:v>
      </x:c>
      <x:c r="F1" s="37" t="str">
        <x:v>Accepted First Pass</x:v>
      </x:c>
      <x:c r="G1" s="37" t="str">
        <x:v>Reworked</x:v>
      </x:c>
      <x:c r="H1" s="37" t="str">
        <x:v>Tasks Within SLA</x:v>
      </x:c>
      <x:c r="I1" s="37" t="str">
        <x:v>Avg Handle Minutes</x:v>
      </x:c>
      <x:c r="J1" s="37" t="str">
        <x:v>Escalations</x:v>
      </x:c>
      <x:c r="K1" s="37" t="str">
        <x:v>Capacity Target</x:v>
      </x:c>
      <x:c r="L1" s="37" t="str">
        <x:v>High-Risk Flags</x:v>
      </x:c>
      <x:c r="M1" s="37" t="str">
        <x:v>First-Pass Quality</x:v>
      </x:c>
      <x:c r="N1" s="37" t="str">
        <x:v>Rework Rate</x:v>
      </x:c>
      <x:c r="O1" s="37" t="str">
        <x:v>SLA Attainment</x:v>
      </x:c>
      <x:c r="P1" s="37" t="str">
        <x:v>Productivity (Tasks/Hour)</x:v>
      </x:c>
      <x:c r="Q1" s="37" t="str">
        <x:v>Capacity Utilization</x:v>
      </x:c>
    </x:row>
    <x:row r="2" ht="18" customHeight="1">
      <x:c r="A2" s="38" t="str">
        <x:v>2026-05-18</x:v>
      </x:c>
      <x:c r="B2" s="39" t="str">
        <x:v>US English</x:v>
      </x:c>
      <x:c r="C2" s="40" t="n">
        <x:v>12</x:v>
      </x:c>
      <x:c r="D2" s="40" t="n">
        <x:v>338</x:v>
      </x:c>
      <x:c r="E2" s="40" t="n">
        <x:v>2756</x:v>
      </x:c>
      <x:c r="F2" s="40" t="n">
        <x:v>2621</x:v>
      </x:c>
      <x:c r="G2" s="40" t="n">
        <x:v>113</x:v>
      </x:c>
      <x:c r="H2" s="40" t="n">
        <x:v>2652</x:v>
      </x:c>
      <x:c r="I2" s="41" t="n">
        <x:v>6.5</x:v>
      </x:c>
      <x:c r="J2" s="40" t="n">
        <x:v>5</x:v>
      </x:c>
      <x:c r="K2" s="40" t="n">
        <x:v>2907</x:v>
      </x:c>
      <x:c r="L2" s="40" t="n">
        <x:v>0</x:v>
      </x:c>
      <x:c r="M2" s="42" t="n">
        <x:f>IFERROR(F2/E2,0)</x:f>
        <x:v>0.9510159651669086</x:v>
      </x:c>
      <x:c r="N2" s="42" t="n">
        <x:f>IFERROR(G2/E2,0)</x:f>
        <x:v>0.04100145137880987</x:v>
      </x:c>
      <x:c r="O2" s="42" t="n">
        <x:f>IFERROR(H2/E2,0)</x:f>
        <x:v>0.9622641509433962</x:v>
      </x:c>
      <x:c r="P2" s="43" t="n">
        <x:f>IFERROR(E2/D2,0)</x:f>
        <x:v>8.153846153846153</x:v>
      </x:c>
      <x:c r="Q2" s="42" t="n">
        <x:f>IFERROR(E2/K2,0)</x:f>
        <x:v>0.9480564155486756</x:v>
      </x:c>
    </x:row>
    <x:row r="3" ht="18" customHeight="1">
      <x:c r="A3" s="38" t="str">
        <x:v>2026-05-18</x:v>
      </x:c>
      <x:c r="B3" s="39" t="str">
        <x:v>Spanish</x:v>
      </x:c>
      <x:c r="C3" s="40" t="n">
        <x:v>10</x:v>
      </x:c>
      <x:c r="D3" s="40" t="n">
        <x:v>288</x:v>
      </x:c>
      <x:c r="E3" s="40" t="n">
        <x:v>2212</x:v>
      </x:c>
      <x:c r="F3" s="40" t="n">
        <x:v>2069</x:v>
      </x:c>
      <x:c r="G3" s="40" t="n">
        <x:v>120</x:v>
      </x:c>
      <x:c r="H3" s="40" t="n">
        <x:v>2098</x:v>
      </x:c>
      <x:c r="I3" s="41" t="n">
        <x:v>7.7</x:v>
      </x:c>
      <x:c r="J3" s="40" t="n">
        <x:v>6</x:v>
      </x:c>
      <x:c r="K3" s="40" t="n">
        <x:v>2275</x:v>
      </x:c>
      <x:c r="L3" s="40" t="n">
        <x:v>0</x:v>
      </x:c>
      <x:c r="M3" s="42" t="n">
        <x:f>IFERROR(F3/E3,0)</x:f>
        <x:v>0.9353526220614828</x:v>
      </x:c>
      <x:c r="N3" s="42" t="n">
        <x:f>IFERROR(G3/E3,0)</x:f>
        <x:v>0.054249547920433995</x:v>
      </x:c>
      <x:c r="O3" s="42" t="n">
        <x:f>IFERROR(H3/E3,0)</x:f>
        <x:v>0.9484629294755877</x:v>
      </x:c>
      <x:c r="P3" s="43" t="n">
        <x:f>IFERROR(E3/D3,0)</x:f>
        <x:v>7.680555555555555</x:v>
      </x:c>
      <x:c r="Q3" s="42" t="n">
        <x:f>IFERROR(E3/K3,0)</x:f>
        <x:v>0.9723076923076923</x:v>
      </x:c>
    </x:row>
    <x:row r="4" ht="18" customHeight="1">
      <x:c r="A4" s="38" t="str">
        <x:v>2026-05-18</x:v>
      </x:c>
      <x:c r="B4" s="39" t="str">
        <x:v>Technical</x:v>
      </x:c>
      <x:c r="C4" s="40" t="n">
        <x:v>8</x:v>
      </x:c>
      <x:c r="D4" s="40" t="n">
        <x:v>218</x:v>
      </x:c>
      <x:c r="E4" s="40" t="n">
        <x:v>1417</x:v>
      </x:c>
      <x:c r="F4" s="40" t="n">
        <x:v>1347</x:v>
      </x:c>
      <x:c r="G4" s="40" t="n">
        <x:v>59</x:v>
      </x:c>
      <x:c r="H4" s="40" t="n">
        <x:v>1355</x:v>
      </x:c>
      <x:c r="I4" s="41" t="n">
        <x:v>8.5</x:v>
      </x:c>
      <x:c r="J4" s="40" t="n">
        <x:v>7</x:v>
      </x:c>
      <x:c r="K4" s="40" t="n">
        <x:v>1482</x:v>
      </x:c>
      <x:c r="L4" s="40" t="n">
        <x:v>0</x:v>
      </x:c>
      <x:c r="M4" s="42" t="n">
        <x:f>IFERROR(F4/E4,0)</x:f>
        <x:v>0.9505998588567396</x:v>
      </x:c>
      <x:c r="N4" s="42" t="n">
        <x:f>IFERROR(G4/E4,0)</x:f>
        <x:v>0.04163726182074806</x:v>
      </x:c>
      <x:c r="O4" s="42" t="n">
        <x:f>IFERROR(H4/E4,0)</x:f>
        <x:v>0.9562455892731122</x:v>
      </x:c>
      <x:c r="P4" s="43" t="n">
        <x:f>IFERROR(E4/D4,0)</x:f>
        <x:v>6.5</x:v>
      </x:c>
      <x:c r="Q4" s="42" t="n">
        <x:f>IFERROR(E4/K4,0)</x:f>
        <x:v>0.956140350877193</x:v>
      </x:c>
    </x:row>
    <x:row r="5" ht="18" customHeight="1">
      <x:c r="A5" s="38" t="str">
        <x:v>2026-05-18</x:v>
      </x:c>
      <x:c r="B5" s="39" t="str">
        <x:v>General QA</x:v>
      </x:c>
      <x:c r="C5" s="40" t="n">
        <x:v>6</x:v>
      </x:c>
      <x:c r="D5" s="40" t="n">
        <x:v>174</x:v>
      </x:c>
      <x:c r="E5" s="40" t="n">
        <x:v>1150</x:v>
      </x:c>
      <x:c r="F5" s="40" t="n">
        <x:v>1060</x:v>
      </x:c>
      <x:c r="G5" s="40" t="n">
        <x:v>76</x:v>
      </x:c>
      <x:c r="H5" s="40" t="n">
        <x:v>1068</x:v>
      </x:c>
      <x:c r="I5" s="41" t="n">
        <x:v>8.3</x:v>
      </x:c>
      <x:c r="J5" s="40" t="n">
        <x:v>4</x:v>
      </x:c>
      <x:c r="K5" s="40" t="n">
        <x:v>1253</x:v>
      </x:c>
      <x:c r="L5" s="40" t="n">
        <x:v>0</x:v>
      </x:c>
      <x:c r="M5" s="42" t="n">
        <x:f>IFERROR(F5/E5,0)</x:f>
        <x:v>0.9217391304347826</x:v>
      </x:c>
      <x:c r="N5" s="42" t="n">
        <x:f>IFERROR(G5/E5,0)</x:f>
        <x:v>0.06608695652173913</x:v>
      </x:c>
      <x:c r="O5" s="42" t="n">
        <x:f>IFERROR(H5/E5,0)</x:f>
        <x:v>0.928695652173913</x:v>
      </x:c>
      <x:c r="P5" s="43" t="n">
        <x:f>IFERROR(E5/D5,0)</x:f>
        <x:v>6.609195402298851</x:v>
      </x:c>
      <x:c r="Q5" s="42" t="n">
        <x:f>IFERROR(E5/K5,0)</x:f>
        <x:v>0.9177972865123704</x:v>
      </x:c>
    </x:row>
    <x:row r="6" ht="18" customHeight="1">
      <x:c r="A6" s="38" t="str">
        <x:v>2026-05-25</x:v>
      </x:c>
      <x:c r="B6" s="39" t="str">
        <x:v>US English</x:v>
      </x:c>
      <x:c r="C6" s="40" t="n">
        <x:v>12</x:v>
      </x:c>
      <x:c r="D6" s="40" t="n">
        <x:v>339</x:v>
      </x:c>
      <x:c r="E6" s="40" t="n">
        <x:v>2674</x:v>
      </x:c>
      <x:c r="F6" s="40" t="n">
        <x:v>2543</x:v>
      </x:c>
      <x:c r="G6" s="40" t="n">
        <x:v>110</x:v>
      </x:c>
      <x:c r="H6" s="40" t="n">
        <x:v>2554</x:v>
      </x:c>
      <x:c r="I6" s="41" t="n">
        <x:v>6.7</x:v>
      </x:c>
      <x:c r="J6" s="40" t="n">
        <x:v>7</x:v>
      </x:c>
      <x:c r="K6" s="40" t="n">
        <x:v>2915</x:v>
      </x:c>
      <x:c r="L6" s="40" t="n">
        <x:v>0</x:v>
      </x:c>
      <x:c r="M6" s="42" t="n">
        <x:f>IFERROR(F6/E6,0)</x:f>
        <x:v>0.9510097232610322</x:v>
      </x:c>
      <x:c r="N6" s="42" t="n">
        <x:f>IFERROR(G6/E6,0)</x:f>
        <x:v>0.04113687359760658</x:v>
      </x:c>
      <x:c r="O6" s="42" t="n">
        <x:f>IFERROR(H6/E6,0)</x:f>
        <x:v>0.9551234106207929</x:v>
      </x:c>
      <x:c r="P6" s="43" t="n">
        <x:f>IFERROR(E6/D6,0)</x:f>
        <x:v>7.887905604719764</x:v>
      </x:c>
      <x:c r="Q6" s="42" t="n">
        <x:f>IFERROR(E6/K6,0)</x:f>
        <x:v>0.9173241852487135</x:v>
      </x:c>
    </x:row>
    <x:row r="7" ht="18" customHeight="1">
      <x:c r="A7" s="38" t="str">
        <x:v>2026-05-25</x:v>
      </x:c>
      <x:c r="B7" s="39" t="str">
        <x:v>Spanish</x:v>
      </x:c>
      <x:c r="C7" s="40" t="n">
        <x:v>9</x:v>
      </x:c>
      <x:c r="D7" s="40" t="n">
        <x:v>256</x:v>
      </x:c>
      <x:c r="E7" s="40" t="n">
        <x:v>1846</x:v>
      </x:c>
      <x:c r="F7" s="40" t="n">
        <x:v>1726</x:v>
      </x:c>
      <x:c r="G7" s="40" t="n">
        <x:v>101</x:v>
      </x:c>
      <x:c r="H7" s="40" t="n">
        <x:v>1757</x:v>
      </x:c>
      <x:c r="I7" s="41" t="n">
        <x:v>7.7</x:v>
      </x:c>
      <x:c r="J7" s="40" t="n">
        <x:v>2</x:v>
      </x:c>
      <x:c r="K7" s="40" t="n">
        <x:v>2022</x:v>
      </x:c>
      <x:c r="L7" s="40" t="n">
        <x:v>0</x:v>
      </x:c>
      <x:c r="M7" s="42" t="n">
        <x:f>IFERROR(F7/E7,0)</x:f>
        <x:v>0.9349945828819068</x:v>
      </x:c>
      <x:c r="N7" s="42" t="n">
        <x:f>IFERROR(G7/E7,0)</x:f>
        <x:v>0.05471289274106175</x:v>
      </x:c>
      <x:c r="O7" s="42" t="n">
        <x:f>IFERROR(H7/E7,0)</x:f>
        <x:v>0.9517876489707475</x:v>
      </x:c>
      <x:c r="P7" s="43" t="n">
        <x:f>IFERROR(E7/D7,0)</x:f>
        <x:v>7.2109375</x:v>
      </x:c>
      <x:c r="Q7" s="42" t="n">
        <x:f>IFERROR(E7/K7,0)</x:f>
        <x:v>0.9129574678536103</x:v>
      </x:c>
    </x:row>
    <x:row r="8" ht="18" customHeight="1">
      <x:c r="A8" s="38" t="str">
        <x:v>2026-05-25</x:v>
      </x:c>
      <x:c r="B8" s="39" t="str">
        <x:v>Technical</x:v>
      </x:c>
      <x:c r="C8" s="40" t="n">
        <x:v>7</x:v>
      </x:c>
      <x:c r="D8" s="40" t="n">
        <x:v>201</x:v>
      </x:c>
      <x:c r="E8" s="40" t="n">
        <x:v>1287</x:v>
      </x:c>
      <x:c r="F8" s="40" t="n">
        <x:v>1237</x:v>
      </x:c>
      <x:c r="G8" s="40" t="n">
        <x:v>42</x:v>
      </x:c>
      <x:c r="H8" s="40" t="n">
        <x:v>1235</x:v>
      </x:c>
      <x:c r="I8" s="41" t="n">
        <x:v>9.1</x:v>
      </x:c>
      <x:c r="J8" s="40" t="n">
        <x:v>9</x:v>
      </x:c>
      <x:c r="K8" s="40" t="n">
        <x:v>1367</x:v>
      </x:c>
      <x:c r="L8" s="40" t="n">
        <x:v>0</x:v>
      </x:c>
      <x:c r="M8" s="42" t="n">
        <x:f>IFERROR(F8/E8,0)</x:f>
        <x:v>0.9611499611499611</x:v>
      </x:c>
      <x:c r="N8" s="42" t="n">
        <x:f>IFERROR(G8/E8,0)</x:f>
        <x:v>0.03263403263403263</x:v>
      </x:c>
      <x:c r="O8" s="42" t="n">
        <x:f>IFERROR(H8/E8,0)</x:f>
        <x:v>0.9595959595959596</x:v>
      </x:c>
      <x:c r="P8" s="43" t="n">
        <x:f>IFERROR(E8/D8,0)</x:f>
        <x:v>6.402985074626866</x:v>
      </x:c>
      <x:c r="Q8" s="42" t="n">
        <x:f>IFERROR(E8/K8,0)</x:f>
        <x:v>0.9414776883686906</x:v>
      </x:c>
    </x:row>
    <x:row r="9" ht="18" customHeight="1">
      <x:c r="A9" s="38" t="str">
        <x:v>2026-05-25</x:v>
      </x:c>
      <x:c r="B9" s="39" t="str">
        <x:v>General QA</x:v>
      </x:c>
      <x:c r="C9" s="40" t="n">
        <x:v>6</x:v>
      </x:c>
      <x:c r="D9" s="40" t="n">
        <x:v>169</x:v>
      </x:c>
      <x:c r="E9" s="40" t="n">
        <x:v>1227</x:v>
      </x:c>
      <x:c r="F9" s="40" t="n">
        <x:v>1129</x:v>
      </x:c>
      <x:c r="G9" s="40" t="n">
        <x:v>82</x:v>
      </x:c>
      <x:c r="H9" s="40" t="n">
        <x:v>1145</x:v>
      </x:c>
      <x:c r="I9" s="41" t="n">
        <x:v>8.2</x:v>
      </x:c>
      <x:c r="J9" s="40" t="n">
        <x:v>7</x:v>
      </x:c>
      <x:c r="K9" s="40" t="n">
        <x:v>1217</x:v>
      </x:c>
      <x:c r="L9" s="40" t="n">
        <x:v>0</x:v>
      </x:c>
      <x:c r="M9" s="42" t="n">
        <x:f>IFERROR(F9/E9,0)</x:f>
        <x:v>0.9201303993480032</x:v>
      </x:c>
      <x:c r="N9" s="42" t="n">
        <x:f>IFERROR(G9/E9,0)</x:f>
        <x:v>0.06682966585167074</x:v>
      </x:c>
      <x:c r="O9" s="42" t="n">
        <x:f>IFERROR(H9/E9,0)</x:f>
        <x:v>0.9331703341483293</x:v>
      </x:c>
      <x:c r="P9" s="43" t="n">
        <x:f>IFERROR(E9/D9,0)</x:f>
        <x:v>7.260355029585799</x:v>
      </x:c>
      <x:c r="Q9" s="42" t="n">
        <x:f>IFERROR(E9/K9,0)</x:f>
        <x:v>1.0082169268693508</x:v>
      </x:c>
    </x:row>
    <x:row r="10" ht="18" customHeight="1">
      <x:c r="A10" s="38" t="str">
        <x:v>2026-06-01</x:v>
      </x:c>
      <x:c r="B10" s="39" t="str">
        <x:v>US English</x:v>
      </x:c>
      <x:c r="C10" s="40" t="n">
        <x:v>12</x:v>
      </x:c>
      <x:c r="D10" s="40" t="n">
        <x:v>343</x:v>
      </x:c>
      <x:c r="E10" s="40" t="n">
        <x:v>3042</x:v>
      </x:c>
      <x:c r="F10" s="40" t="n">
        <x:v>2889</x:v>
      </x:c>
      <x:c r="G10" s="40" t="n">
        <x:v>129</x:v>
      </x:c>
      <x:c r="H10" s="40" t="n">
        <x:v>2923</x:v>
      </x:c>
      <x:c r="I10" s="41" t="n">
        <x:v>7</x:v>
      </x:c>
      <x:c r="J10" s="40" t="n">
        <x:v>8</x:v>
      </x:c>
      <x:c r="K10" s="40" t="n">
        <x:v>2950</x:v>
      </x:c>
      <x:c r="L10" s="40" t="n">
        <x:v>1</x:v>
      </x:c>
      <x:c r="M10" s="42" t="n">
        <x:f>IFERROR(F10/E10,0)</x:f>
        <x:v>0.9497041420118343</x:v>
      </x:c>
      <x:c r="N10" s="42" t="n">
        <x:f>IFERROR(G10/E10,0)</x:f>
        <x:v>0.04240631163708087</x:v>
      </x:c>
      <x:c r="O10" s="42" t="n">
        <x:f>IFERROR(H10/E10,0)</x:f>
        <x:v>0.9608809993425378</x:v>
      </x:c>
      <x:c r="P10" s="43" t="n">
        <x:f>IFERROR(E10/D10,0)</x:f>
        <x:v>8.868804664723031</x:v>
      </x:c>
      <x:c r="Q10" s="42" t="n">
        <x:f>IFERROR(E10/K10,0)</x:f>
        <x:v>1.031186440677966</x:v>
      </x:c>
    </x:row>
    <x:row r="11" ht="18" customHeight="1">
      <x:c r="A11" s="38" t="str">
        <x:v>2026-06-01</x:v>
      </x:c>
      <x:c r="B11" s="39" t="str">
        <x:v>Spanish</x:v>
      </x:c>
      <x:c r="C11" s="40" t="n">
        <x:v>9</x:v>
      </x:c>
      <x:c r="D11" s="40" t="n">
        <x:v>249</x:v>
      </x:c>
      <x:c r="E11" s="40" t="n">
        <x:v>1950</x:v>
      </x:c>
      <x:c r="F11" s="40" t="n">
        <x:v>1807</x:v>
      </x:c>
      <x:c r="G11" s="40" t="n">
        <x:v>120</x:v>
      </x:c>
      <x:c r="H11" s="40" t="n">
        <x:v>1836</x:v>
      </x:c>
      <x:c r="I11" s="41" t="n">
        <x:v>7.3</x:v>
      </x:c>
      <x:c r="J11" s="40" t="n">
        <x:v>4</x:v>
      </x:c>
      <x:c r="K11" s="40" t="n">
        <x:v>1967</x:v>
      </x:c>
      <x:c r="L11" s="40" t="n">
        <x:v>0</x:v>
      </x:c>
      <x:c r="M11" s="42" t="n">
        <x:f>IFERROR(F11/E11,0)</x:f>
        <x:v>0.9266666666666666</x:v>
      </x:c>
      <x:c r="N11" s="42" t="n">
        <x:f>IFERROR(G11/E11,0)</x:f>
        <x:v>0.06153846153846154</x:v>
      </x:c>
      <x:c r="O11" s="42" t="n">
        <x:f>IFERROR(H11/E11,0)</x:f>
        <x:v>0.9415384615384615</x:v>
      </x:c>
      <x:c r="P11" s="43" t="n">
        <x:f>IFERROR(E11/D11,0)</x:f>
        <x:v>7.831325301204819</x:v>
      </x:c>
      <x:c r="Q11" s="42" t="n">
        <x:f>IFERROR(E11/K11,0)</x:f>
        <x:v>0.9913573970513472</x:v>
      </x:c>
    </x:row>
    <x:row r="12" ht="18" customHeight="1">
      <x:c r="A12" s="38" t="str">
        <x:v>2026-06-01</x:v>
      </x:c>
      <x:c r="B12" s="39" t="str">
        <x:v>Technical</x:v>
      </x:c>
      <x:c r="C12" s="40" t="n">
        <x:v>7</x:v>
      </x:c>
      <x:c r="D12" s="40" t="n">
        <x:v>197</x:v>
      </x:c>
      <x:c r="E12" s="40" t="n">
        <x:v>1254</x:v>
      </x:c>
      <x:c r="F12" s="40" t="n">
        <x:v>1198</x:v>
      </x:c>
      <x:c r="G12" s="40" t="n">
        <x:v>47</x:v>
      </x:c>
      <x:c r="H12" s="40" t="n">
        <x:v>1198</x:v>
      </x:c>
      <x:c r="I12" s="41" t="n">
        <x:v>8.9</x:v>
      </x:c>
      <x:c r="J12" s="40" t="n">
        <x:v>4</x:v>
      </x:c>
      <x:c r="K12" s="40" t="n">
        <x:v>1340</x:v>
      </x:c>
      <x:c r="L12" s="40" t="n">
        <x:v>0</x:v>
      </x:c>
      <x:c r="M12" s="42" t="n">
        <x:f>IFERROR(F12/E12,0)</x:f>
        <x:v>0.9553429027113237</x:v>
      </x:c>
      <x:c r="N12" s="42" t="n">
        <x:f>IFERROR(G12/E12,0)</x:f>
        <x:v>0.037480063795853266</x:v>
      </x:c>
      <x:c r="O12" s="42" t="n">
        <x:f>IFERROR(H12/E12,0)</x:f>
        <x:v>0.9553429027113237</x:v>
      </x:c>
      <x:c r="P12" s="43" t="n">
        <x:f>IFERROR(E12/D12,0)</x:f>
        <x:v>6.365482233502538</x:v>
      </x:c>
      <x:c r="Q12" s="42" t="n">
        <x:f>IFERROR(E12/K12,0)</x:f>
        <x:v>0.935820895522388</x:v>
      </x:c>
    </x:row>
    <x:row r="13" ht="18" customHeight="1">
      <x:c r="A13" s="38" t="str">
        <x:v>2026-06-01</x:v>
      </x:c>
      <x:c r="B13" s="39" t="str">
        <x:v>General QA</x:v>
      </x:c>
      <x:c r="C13" s="40" t="n">
        <x:v>6</x:v>
      </x:c>
      <x:c r="D13" s="40" t="n">
        <x:v>173</x:v>
      </x:c>
      <x:c r="E13" s="40" t="n">
        <x:v>1281</x:v>
      </x:c>
      <x:c r="F13" s="40" t="n">
        <x:v>1181</x:v>
      </x:c>
      <x:c r="G13" s="40" t="n">
        <x:v>84</x:v>
      </x:c>
      <x:c r="H13" s="40" t="n">
        <x:v>1195</x:v>
      </x:c>
      <x:c r="I13" s="41" t="n">
        <x:v>8.4</x:v>
      </x:c>
      <x:c r="J13" s="40" t="n">
        <x:v>7</x:v>
      </x:c>
      <x:c r="K13" s="40" t="n">
        <x:v>1246</x:v>
      </x:c>
      <x:c r="L13" s="40" t="n">
        <x:v>0</x:v>
      </x:c>
      <x:c r="M13" s="42" t="n">
        <x:f>IFERROR(F13/E13,0)</x:f>
        <x:v>0.921935987509758</x:v>
      </x:c>
      <x:c r="N13" s="42" t="n">
        <x:f>IFERROR(G13/E13,0)</x:f>
        <x:v>0.06557377049180328</x:v>
      </x:c>
      <x:c r="O13" s="42" t="n">
        <x:f>IFERROR(H13/E13,0)</x:f>
        <x:v>0.9328649492583919</x:v>
      </x:c>
      <x:c r="P13" s="43" t="n">
        <x:f>IFERROR(E13/D13,0)</x:f>
        <x:v>7.404624277456647</x:v>
      </x:c>
      <x:c r="Q13" s="42" t="n">
        <x:f>IFERROR(E13/K13,0)</x:f>
        <x:v>1.0280898876404494</x:v>
      </x:c>
    </x:row>
    <x:row r="14" ht="18" customHeight="1">
      <x:c r="A14" s="38" t="str">
        <x:v>2026-06-08</x:v>
      </x:c>
      <x:c r="B14" s="39" t="str">
        <x:v>US English</x:v>
      </x:c>
      <x:c r="C14" s="40" t="n">
        <x:v>12</x:v>
      </x:c>
      <x:c r="D14" s="40" t="n">
        <x:v>326</x:v>
      </x:c>
      <x:c r="E14" s="40" t="n">
        <x:v>2702</x:v>
      </x:c>
      <x:c r="F14" s="40" t="n">
        <x:v>2542</x:v>
      </x:c>
      <x:c r="G14" s="40" t="n">
        <x:v>134</x:v>
      </x:c>
      <x:c r="H14" s="40" t="n">
        <x:v>2586</x:v>
      </x:c>
      <x:c r="I14" s="41" t="n">
        <x:v>6.7</x:v>
      </x:c>
      <x:c r="J14" s="40" t="n">
        <x:v>7</x:v>
      </x:c>
      <x:c r="K14" s="40" t="n">
        <x:v>2804</x:v>
      </x:c>
      <x:c r="L14" s="40" t="n">
        <x:v>0</x:v>
      </x:c>
      <x:c r="M14" s="42" t="n">
        <x:f>IFERROR(F14/E14,0)</x:f>
        <x:v>0.9407846039970392</x:v>
      </x:c>
      <x:c r="N14" s="42" t="n">
        <x:f>IFERROR(G14/E14,0)</x:f>
        <x:v>0.049592894152479645</x:v>
      </x:c>
      <x:c r="O14" s="42" t="n">
        <x:f>IFERROR(H14/E14,0)</x:f>
        <x:v>0.9570688378978535</x:v>
      </x:c>
      <x:c r="P14" s="43" t="n">
        <x:f>IFERROR(E14/D14,0)</x:f>
        <x:v>8.28834355828221</x:v>
      </x:c>
      <x:c r="Q14" s="42" t="n">
        <x:f>IFERROR(E14/K14,0)</x:f>
        <x:v>0.963623395149786</x:v>
      </x:c>
    </x:row>
    <x:row r="15" ht="18" customHeight="1">
      <x:c r="A15" s="38" t="str">
        <x:v>2026-06-08</x:v>
      </x:c>
      <x:c r="B15" s="39" t="str">
        <x:v>Spanish</x:v>
      </x:c>
      <x:c r="C15" s="40" t="n">
        <x:v>10</x:v>
      </x:c>
      <x:c r="D15" s="40" t="n">
        <x:v>275</x:v>
      </x:c>
      <x:c r="E15" s="40" t="n">
        <x:v>2225</x:v>
      </x:c>
      <x:c r="F15" s="40" t="n">
        <x:v>2082</x:v>
      </x:c>
      <x:c r="G15" s="40" t="n">
        <x:v>120</x:v>
      </x:c>
      <x:c r="H15" s="40" t="n">
        <x:v>2126</x:v>
      </x:c>
      <x:c r="I15" s="41" t="n">
        <x:v>7.7</x:v>
      </x:c>
      <x:c r="J15" s="40" t="n">
        <x:v>6</x:v>
      </x:c>
      <x:c r="K15" s="40" t="n">
        <x:v>2173</x:v>
      </x:c>
      <x:c r="L15" s="40" t="n">
        <x:v>0</x:v>
      </x:c>
      <x:c r="M15" s="42" t="n">
        <x:f>IFERROR(F15/E15,0)</x:f>
        <x:v>0.9357303370786517</x:v>
      </x:c>
      <x:c r="N15" s="42" t="n">
        <x:f>IFERROR(G15/E15,0)</x:f>
        <x:v>0.05393258426966292</x:v>
      </x:c>
      <x:c r="O15" s="42" t="n">
        <x:f>IFERROR(H15/E15,0)</x:f>
        <x:v>0.9555056179775281</x:v>
      </x:c>
      <x:c r="P15" s="43" t="n">
        <x:f>IFERROR(E15/D15,0)</x:f>
        <x:v>8.090909090909092</x:v>
      </x:c>
      <x:c r="Q15" s="42" t="n">
        <x:f>IFERROR(E15/K15,0)</x:f>
        <x:v>1.023930050621261</x:v>
      </x:c>
    </x:row>
    <x:row r="16" ht="18" customHeight="1">
      <x:c r="A16" s="38" t="str">
        <x:v>2026-06-08</x:v>
      </x:c>
      <x:c r="B16" s="39" t="str">
        <x:v>Technical</x:v>
      </x:c>
      <x:c r="C16" s="40" t="n">
        <x:v>7</x:v>
      </x:c>
      <x:c r="D16" s="40" t="n">
        <x:v>191</x:v>
      </x:c>
      <x:c r="E16" s="40" t="n">
        <x:v>1321</x:v>
      </x:c>
      <x:c r="F16" s="40" t="n">
        <x:v>1272</x:v>
      </x:c>
      <x:c r="G16" s="40" t="n">
        <x:v>41</x:v>
      </x:c>
      <x:c r="H16" s="40" t="n">
        <x:v>1270</x:v>
      </x:c>
      <x:c r="I16" s="41" t="n">
        <x:v>8.7</x:v>
      </x:c>
      <x:c r="J16" s="40" t="n">
        <x:v>2</x:v>
      </x:c>
      <x:c r="K16" s="40" t="n">
        <x:v>1299</x:v>
      </x:c>
      <x:c r="L16" s="40" t="n">
        <x:v>0</x:v>
      </x:c>
      <x:c r="M16" s="42" t="n">
        <x:f>IFERROR(F16/E16,0)</x:f>
        <x:v>0.9629068887206662</x:v>
      </x:c>
      <x:c r="N16" s="42" t="n">
        <x:f>IFERROR(G16/E16,0)</x:f>
        <x:v>0.031037093111279335</x:v>
      </x:c>
      <x:c r="O16" s="42" t="n">
        <x:f>IFERROR(H16/E16,0)</x:f>
        <x:v>0.9613928841786525</x:v>
      </x:c>
      <x:c r="P16" s="43" t="n">
        <x:f>IFERROR(E16/D16,0)</x:f>
        <x:v>6.9162303664921465</x:v>
      </x:c>
      <x:c r="Q16" s="42" t="n">
        <x:f>IFERROR(E16/K16,0)</x:f>
        <x:v>1.01693610469592</x:v>
      </x:c>
    </x:row>
    <x:row r="17" ht="18" customHeight="1">
      <x:c r="A17" s="38" t="str">
        <x:v>2026-06-08</x:v>
      </x:c>
      <x:c r="B17" s="39" t="str">
        <x:v>General QA</x:v>
      </x:c>
      <x:c r="C17" s="40" t="n">
        <x:v>6</x:v>
      </x:c>
      <x:c r="D17" s="40" t="n">
        <x:v>174</x:v>
      </x:c>
      <x:c r="E17" s="40" t="n">
        <x:v>1158</x:v>
      </x:c>
      <x:c r="F17" s="40" t="n">
        <x:v>1066</x:v>
      </x:c>
      <x:c r="G17" s="40" t="n">
        <x:v>77</x:v>
      </x:c>
      <x:c r="H17" s="40" t="n">
        <x:v>1089</x:v>
      </x:c>
      <x:c r="I17" s="41" t="n">
        <x:v>8.5</x:v>
      </x:c>
      <x:c r="J17" s="40" t="n">
        <x:v>6</x:v>
      </x:c>
      <x:c r="K17" s="40" t="n">
        <x:v>1253</x:v>
      </x:c>
      <x:c r="L17" s="40" t="n">
        <x:v>0</x:v>
      </x:c>
      <x:c r="M17" s="42" t="n">
        <x:f>IFERROR(F17/E17,0)</x:f>
        <x:v>0.9205526770293609</x:v>
      </x:c>
      <x:c r="N17" s="42" t="n">
        <x:f>IFERROR(G17/E17,0)</x:f>
        <x:v>0.06649395509499137</x:v>
      </x:c>
      <x:c r="O17" s="42" t="n">
        <x:f>IFERROR(H17/E17,0)</x:f>
        <x:v>0.9404145077720207</x:v>
      </x:c>
      <x:c r="P17" s="43" t="n">
        <x:f>IFERROR(E17/D17,0)</x:f>
        <x:v>6.655172413793103</x:v>
      </x:c>
      <x:c r="Q17" s="42" t="n">
        <x:f>IFERROR(E17/K17,0)</x:f>
        <x:v>0.9241819632881085</x:v>
      </x:c>
    </x:row>
    <x:row r="18" ht="18" customHeight="1">
      <x:c r="A18" s="38" t="str">
        <x:v>2026-06-15</x:v>
      </x:c>
      <x:c r="B18" s="39" t="str">
        <x:v>US English</x:v>
      </x:c>
      <x:c r="C18" s="40" t="n">
        <x:v>11</x:v>
      </x:c>
      <x:c r="D18" s="40" t="n">
        <x:v>301</x:v>
      </x:c>
      <x:c r="E18" s="40" t="n">
        <x:v>2429</x:v>
      </x:c>
      <x:c r="F18" s="40" t="n">
        <x:v>2285</x:v>
      </x:c>
      <x:c r="G18" s="40" t="n">
        <x:v>121</x:v>
      </x:c>
      <x:c r="H18" s="40" t="n">
        <x:v>2328</x:v>
      </x:c>
      <x:c r="I18" s="41" t="n">
        <x:v>6.8</x:v>
      </x:c>
      <x:c r="J18" s="40" t="n">
        <x:v>3</x:v>
      </x:c>
      <x:c r="K18" s="40" t="n">
        <x:v>2589</x:v>
      </x:c>
      <x:c r="L18" s="40" t="n">
        <x:v>0</x:v>
      </x:c>
      <x:c r="M18" s="42" t="n">
        <x:f>IFERROR(F18/E18,0)</x:f>
        <x:v>0.9407163441745574</x:v>
      </x:c>
      <x:c r="N18" s="42" t="n">
        <x:f>IFERROR(G18/E18,0)</x:f>
        <x:v>0.04981473857554549</x:v>
      </x:c>
      <x:c r="O18" s="42" t="n">
        <x:f>IFERROR(H18/E18,0)</x:f>
        <x:v>0.9584191025113216</x:v>
      </x:c>
      <x:c r="P18" s="43" t="n">
        <x:f>IFERROR(E18/D18,0)</x:f>
        <x:v>8.069767441860465</x:v>
      </x:c>
      <x:c r="Q18" s="42" t="n">
        <x:f>IFERROR(E18/K18,0)</x:f>
        <x:v>0.9382000772499034</x:v>
      </x:c>
    </x:row>
    <x:row r="19" ht="18" customHeight="1">
      <x:c r="A19" s="38" t="str">
        <x:v>2026-06-15</x:v>
      </x:c>
      <x:c r="B19" s="39" t="str">
        <x:v>Spanish</x:v>
      </x:c>
      <x:c r="C19" s="40" t="n">
        <x:v>9</x:v>
      </x:c>
      <x:c r="D19" s="40" t="n">
        <x:v>252</x:v>
      </x:c>
      <x:c r="E19" s="40" t="n">
        <x:v>1886</x:v>
      </x:c>
      <x:c r="F19" s="40" t="n">
        <x:v>1769</x:v>
      </x:c>
      <x:c r="G19" s="40" t="n">
        <x:v>98</x:v>
      </x:c>
      <x:c r="H19" s="40" t="n">
        <x:v>1779</x:v>
      </x:c>
      <x:c r="I19" s="41" t="n">
        <x:v>7.1</x:v>
      </x:c>
      <x:c r="J19" s="40" t="n">
        <x:v>7</x:v>
      </x:c>
      <x:c r="K19" s="40" t="n">
        <x:v>1991</x:v>
      </x:c>
      <x:c r="L19" s="40" t="n">
        <x:v>1</x:v>
      </x:c>
      <x:c r="M19" s="42" t="n">
        <x:f>IFERROR(F19/E19,0)</x:f>
        <x:v>0.9379639448568399</x:v>
      </x:c>
      <x:c r="N19" s="42" t="n">
        <x:f>IFERROR(G19/E19,0)</x:f>
        <x:v>0.051961823966065745</x:v>
      </x:c>
      <x:c r="O19" s="42" t="n">
        <x:f>IFERROR(H19/E19,0)</x:f>
        <x:v>0.9432661717921527</x:v>
      </x:c>
      <x:c r="P19" s="43" t="n">
        <x:f>IFERROR(E19/D19,0)</x:f>
        <x:v>7.484126984126984</x:v>
      </x:c>
      <x:c r="Q19" s="42" t="n">
        <x:f>IFERROR(E19/K19,0)</x:f>
        <x:v>0.9472626820693119</x:v>
      </x:c>
    </x:row>
    <x:row r="20" ht="18" customHeight="1">
      <x:c r="A20" s="38" t="str">
        <x:v>2026-06-15</x:v>
      </x:c>
      <x:c r="B20" s="39" t="str">
        <x:v>Technical</x:v>
      </x:c>
      <x:c r="C20" s="40" t="n">
        <x:v>7</x:v>
      </x:c>
      <x:c r="D20" s="40" t="n">
        <x:v>191</x:v>
      </x:c>
      <x:c r="E20" s="40" t="n">
        <x:v>1195</x:v>
      </x:c>
      <x:c r="F20" s="40" t="n">
        <x:v>1151</x:v>
      </x:c>
      <x:c r="G20" s="40" t="n">
        <x:v>37</x:v>
      </x:c>
      <x:c r="H20" s="40" t="n">
        <x:v>1148</x:v>
      </x:c>
      <x:c r="I20" s="41" t="n">
        <x:v>8.7</x:v>
      </x:c>
      <x:c r="J20" s="40" t="n">
        <x:v>7</x:v>
      </x:c>
      <x:c r="K20" s="40" t="n">
        <x:v>1299</x:v>
      </x:c>
      <x:c r="L20" s="40" t="n">
        <x:v>1</x:v>
      </x:c>
      <x:c r="M20" s="42" t="n">
        <x:f>IFERROR(F20/E20,0)</x:f>
        <x:v>0.9631799163179916</x:v>
      </x:c>
      <x:c r="N20" s="42" t="n">
        <x:f>IFERROR(G20/E20,0)</x:f>
        <x:v>0.03096234309623431</x:v>
      </x:c>
      <x:c r="O20" s="42" t="n">
        <x:f>IFERROR(H20/E20,0)</x:f>
        <x:v>0.9606694560669456</x:v>
      </x:c>
      <x:c r="P20" s="43" t="n">
        <x:f>IFERROR(E20/D20,0)</x:f>
        <x:v>6.2565445026178015</x:v>
      </x:c>
      <x:c r="Q20" s="42" t="n">
        <x:f>IFERROR(E20/K20,0)</x:f>
        <x:v>0.9199384141647421</x:v>
      </x:c>
    </x:row>
    <x:row r="21" ht="18" customHeight="1">
      <x:c r="A21" s="38" t="str">
        <x:v>2026-06-15</x:v>
      </x:c>
      <x:c r="B21" s="39" t="str">
        <x:v>General QA</x:v>
      </x:c>
      <x:c r="C21" s="40" t="n">
        <x:v>7</x:v>
      </x:c>
      <x:c r="D21" s="40" t="n">
        <x:v>194</x:v>
      </x:c>
      <x:c r="E21" s="40" t="n">
        <x:v>1298</x:v>
      </x:c>
      <x:c r="F21" s="40" t="n">
        <x:v>1140</x:v>
      </x:c>
      <x:c r="G21" s="40" t="n">
        <x:v>133</x:v>
      </x:c>
      <x:c r="H21" s="40" t="n">
        <x:v>1169</x:v>
      </x:c>
      <x:c r="I21" s="41" t="n">
        <x:v>9.3</x:v>
      </x:c>
      <x:c r="J21" s="40" t="n">
        <x:v>7</x:v>
      </x:c>
      <x:c r="K21" s="40" t="n">
        <x:v>1397</x:v>
      </x:c>
      <x:c r="L21" s="40" t="n">
        <x:v>2</x:v>
      </x:c>
      <x:c r="M21" s="42" t="n">
        <x:f>IFERROR(F21/E21,0)</x:f>
        <x:v>0.8782742681047766</x:v>
      </x:c>
      <x:c r="N21" s="42" t="n">
        <x:f>IFERROR(G21/E21,0)</x:f>
        <x:v>0.1024653312788906</x:v>
      </x:c>
      <x:c r="O21" s="42" t="n">
        <x:f>IFERROR(H21/E21,0)</x:f>
        <x:v>0.9006163328197226</x:v>
      </x:c>
      <x:c r="P21" s="43" t="n">
        <x:f>IFERROR(E21/D21,0)</x:f>
        <x:v>6.690721649484536</x:v>
      </x:c>
      <x:c r="Q21" s="42" t="n">
        <x:f>IFERROR(E21/K21,0)</x:f>
        <x:v>0.9291338582677166</x:v>
      </x:c>
    </x:row>
    <x:row r="22" ht="18" customHeight="1">
      <x:c r="A22" s="38" t="str">
        <x:v>2026-06-22</x:v>
      </x:c>
      <x:c r="B22" s="39" t="str">
        <x:v>US English</x:v>
      </x:c>
      <x:c r="C22" s="40" t="n">
        <x:v>12</x:v>
      </x:c>
      <x:c r="D22" s="40" t="n">
        <x:v>348</x:v>
      </x:c>
      <x:c r="E22" s="40" t="n">
        <x:v>2872</x:v>
      </x:c>
      <x:c r="F22" s="40" t="n">
        <x:v>2729</x:v>
      </x:c>
      <x:c r="G22" s="40" t="n">
        <x:v>120</x:v>
      </x:c>
      <x:c r="H22" s="40" t="n">
        <x:v>2766</x:v>
      </x:c>
      <x:c r="I22" s="41" t="n">
        <x:v>6.9</x:v>
      </x:c>
      <x:c r="J22" s="40" t="n">
        <x:v>8</x:v>
      </x:c>
      <x:c r="K22" s="40" t="n">
        <x:v>2993</x:v>
      </x:c>
      <x:c r="L22" s="40" t="n">
        <x:v>0</x:v>
      </x:c>
      <x:c r="M22" s="42" t="n">
        <x:f>IFERROR(F22/E22,0)</x:f>
        <x:v>0.950208913649025</x:v>
      </x:c>
      <x:c r="N22" s="42" t="n">
        <x:f>IFERROR(G22/E22,0)</x:f>
        <x:v>0.04178272980501393</x:v>
      </x:c>
      <x:c r="O22" s="42" t="n">
        <x:f>IFERROR(H22/E22,0)</x:f>
        <x:v>0.963091922005571</x:v>
      </x:c>
      <x:c r="P22" s="43" t="n">
        <x:f>IFERROR(E22/D22,0)</x:f>
        <x:v>8.25287356321839</x:v>
      </x:c>
      <x:c r="Q22" s="42" t="n">
        <x:f>IFERROR(E22/K22,0)</x:f>
        <x:v>0.9595723354493819</x:v>
      </x:c>
    </x:row>
    <x:row r="23" ht="18" customHeight="1">
      <x:c r="A23" s="38" t="str">
        <x:v>2026-06-22</x:v>
      </x:c>
      <x:c r="B23" s="39" t="str">
        <x:v>Spanish</x:v>
      </x:c>
      <x:c r="C23" s="40" t="n">
        <x:v>9</x:v>
      </x:c>
      <x:c r="D23" s="40" t="n">
        <x:v>249</x:v>
      </x:c>
      <x:c r="E23" s="40" t="n">
        <x:v>1838</x:v>
      </x:c>
      <x:c r="F23" s="40" t="n">
        <x:v>1721</x:v>
      </x:c>
      <x:c r="G23" s="40" t="n">
        <x:v>98</x:v>
      </x:c>
      <x:c r="H23" s="40" t="n">
        <x:v>1754</x:v>
      </x:c>
      <x:c r="I23" s="41" t="n">
        <x:v>7.3</x:v>
      </x:c>
      <x:c r="J23" s="40" t="n">
        <x:v>7</x:v>
      </x:c>
      <x:c r="K23" s="40" t="n">
        <x:v>1967</x:v>
      </x:c>
      <x:c r="L23" s="40" t="n">
        <x:v>0</x:v>
      </x:c>
      <x:c r="M23" s="42" t="n">
        <x:f>IFERROR(F23/E23,0)</x:f>
        <x:v>0.9363438520130577</x:v>
      </x:c>
      <x:c r="N23" s="42" t="n">
        <x:f>IFERROR(G23/E23,0)</x:f>
        <x:v>0.05331882480957562</x:v>
      </x:c>
      <x:c r="O23" s="42" t="n">
        <x:f>IFERROR(H23/E23,0)</x:f>
        <x:v>0.9542981501632208</x:v>
      </x:c>
      <x:c r="P23" s="43" t="n">
        <x:f>IFERROR(E23/D23,0)</x:f>
        <x:v>7.381526104417671</x:v>
      </x:c>
      <x:c r="Q23" s="42" t="n">
        <x:f>IFERROR(E23/K23,0)</x:f>
        <x:v>0.9344178952719878</x:v>
      </x:c>
    </x:row>
    <x:row r="24" ht="18" customHeight="1">
      <x:c r="A24" s="38" t="str">
        <x:v>2026-06-22</x:v>
      </x:c>
      <x:c r="B24" s="39" t="str">
        <x:v>Technical</x:v>
      </x:c>
      <x:c r="C24" s="40" t="n">
        <x:v>7</x:v>
      </x:c>
      <x:c r="D24" s="40" t="n">
        <x:v>201</x:v>
      </x:c>
      <x:c r="E24" s="40" t="n">
        <x:v>1260</x:v>
      </x:c>
      <x:c r="F24" s="40" t="n">
        <x:v>1214</x:v>
      </x:c>
      <x:c r="G24" s="40" t="n">
        <x:v>39</x:v>
      </x:c>
      <x:c r="H24" s="40" t="n">
        <x:v>1202</x:v>
      </x:c>
      <x:c r="I24" s="41" t="n">
        <x:v>8.7</x:v>
      </x:c>
      <x:c r="J24" s="40" t="n">
        <x:v>8</x:v>
      </x:c>
      <x:c r="K24" s="40" t="n">
        <x:v>1367</x:v>
      </x:c>
      <x:c r="L24" s="40" t="n">
        <x:v>0</x:v>
      </x:c>
      <x:c r="M24" s="42" t="n">
        <x:f>IFERROR(F24/E24,0)</x:f>
        <x:v>0.9634920634920635</x:v>
      </x:c>
      <x:c r="N24" s="42" t="n">
        <x:f>IFERROR(G24/E24,0)</x:f>
        <x:v>0.030952380952380953</x:v>
      </x:c>
      <x:c r="O24" s="42" t="n">
        <x:f>IFERROR(H24/E24,0)</x:f>
        <x:v>0.953968253968254</x:v>
      </x:c>
      <x:c r="P24" s="43" t="n">
        <x:f>IFERROR(E24/D24,0)</x:f>
        <x:v>6.268656716417911</x:v>
      </x:c>
      <x:c r="Q24" s="42" t="n">
        <x:f>IFERROR(E24/K24,0)</x:f>
        <x:v>0.9217264081931237</x:v>
      </x:c>
    </x:row>
    <x:row r="25" ht="18" customHeight="1">
      <x:c r="A25" s="38" t="str">
        <x:v>2026-06-22</x:v>
      </x:c>
      <x:c r="B25" s="39" t="str">
        <x:v>General QA</x:v>
      </x:c>
      <x:c r="C25" s="40" t="n">
        <x:v>6</x:v>
      </x:c>
      <x:c r="D25" s="40" t="n">
        <x:v>167</x:v>
      </x:c>
      <x:c r="E25" s="40" t="n">
        <x:v>1128</x:v>
      </x:c>
      <x:c r="F25" s="40" t="n">
        <x:v>988</x:v>
      </x:c>
      <x:c r="G25" s="40" t="n">
        <x:v>118</x:v>
      </x:c>
      <x:c r="H25" s="40" t="n">
        <x:v>1020</x:v>
      </x:c>
      <x:c r="I25" s="41" t="n">
        <x:v>9.1</x:v>
      </x:c>
      <x:c r="J25" s="40" t="n">
        <x:v>9</x:v>
      </x:c>
      <x:c r="K25" s="40" t="n">
        <x:v>1202</x:v>
      </x:c>
      <x:c r="L25" s="40" t="n">
        <x:v>2</x:v>
      </x:c>
      <x:c r="M25" s="42" t="n">
        <x:f>IFERROR(F25/E25,0)</x:f>
        <x:v>0.875886524822695</x:v>
      </x:c>
      <x:c r="N25" s="42" t="n">
        <x:f>IFERROR(G25/E25,0)</x:f>
        <x:v>0.10460992907801418</x:v>
      </x:c>
      <x:c r="O25" s="42" t="n">
        <x:f>IFERROR(H25/E25,0)</x:f>
        <x:v>0.9042553191489362</x:v>
      </x:c>
      <x:c r="P25" s="43" t="n">
        <x:f>IFERROR(E25/D25,0)</x:f>
        <x:v>6.754491017964072</x:v>
      </x:c>
      <x:c r="Q25" s="42" t="n">
        <x:f>IFERROR(E25/K25,0)</x:f>
        <x:v>0.9384359400998337</x:v>
      </x:c>
    </x:row>
    <x:row r="26" ht="18" customHeight="1">
      <x:c r="A26" s="38" t="str">
        <x:v>2026-06-29</x:v>
      </x:c>
      <x:c r="B26" s="39" t="str">
        <x:v>US English</x:v>
      </x:c>
      <x:c r="C26" s="40" t="n">
        <x:v>12</x:v>
      </x:c>
      <x:c r="D26" s="40" t="n">
        <x:v>329</x:v>
      </x:c>
      <x:c r="E26" s="40" t="n">
        <x:v>2928</x:v>
      </x:c>
      <x:c r="F26" s="40" t="n">
        <x:v>2767</x:v>
      </x:c>
      <x:c r="G26" s="40" t="n">
        <x:v>135</x:v>
      </x:c>
      <x:c r="H26" s="40" t="n">
        <x:v>2822</x:v>
      </x:c>
      <x:c r="I26" s="41" t="n">
        <x:v>6.7</x:v>
      </x:c>
      <x:c r="J26" s="40" t="n">
        <x:v>8</x:v>
      </x:c>
      <x:c r="K26" s="40" t="n">
        <x:v>2829</x:v>
      </x:c>
      <x:c r="L26" s="40" t="n">
        <x:v>0</x:v>
      </x:c>
      <x:c r="M26" s="42" t="n">
        <x:f>IFERROR(F26/E26,0)</x:f>
        <x:v>0.9450136612021858</x:v>
      </x:c>
      <x:c r="N26" s="42" t="n">
        <x:f>IFERROR(G26/E26,0)</x:f>
        <x:v>0.04610655737704918</x:v>
      </x:c>
      <x:c r="O26" s="42" t="n">
        <x:f>IFERROR(H26/E26,0)</x:f>
        <x:v>0.9637978142076503</x:v>
      </x:c>
      <x:c r="P26" s="43" t="n">
        <x:f>IFERROR(E26/D26,0)</x:f>
        <x:v>8.899696048632219</x:v>
      </x:c>
      <x:c r="Q26" s="42" t="n">
        <x:f>IFERROR(E26/K26,0)</x:f>
        <x:v>1.0349946977730646</x:v>
      </x:c>
    </x:row>
    <x:row r="27" ht="18" customHeight="1">
      <x:c r="A27" s="38" t="str">
        <x:v>2026-06-29</x:v>
      </x:c>
      <x:c r="B27" s="39" t="str">
        <x:v>Spanish</x:v>
      </x:c>
      <x:c r="C27" s="40" t="n">
        <x:v>9</x:v>
      </x:c>
      <x:c r="D27" s="40" t="n">
        <x:v>259</x:v>
      </x:c>
      <x:c r="E27" s="40" t="n">
        <x:v>2015</x:v>
      </x:c>
      <x:c r="F27" s="40" t="n">
        <x:v>1873</x:v>
      </x:c>
      <x:c r="G27" s="40" t="n">
        <x:v>119</x:v>
      </x:c>
      <x:c r="H27" s="40" t="n">
        <x:v>1921</x:v>
      </x:c>
      <x:c r="I27" s="41" t="n">
        <x:v>7.3</x:v>
      </x:c>
      <x:c r="J27" s="40" t="n">
        <x:v>6</x:v>
      </x:c>
      <x:c r="K27" s="40" t="n">
        <x:v>2046</x:v>
      </x:c>
      <x:c r="L27" s="40" t="n">
        <x:v>0</x:v>
      </x:c>
      <x:c r="M27" s="42" t="n">
        <x:f>IFERROR(F27/E27,0)</x:f>
        <x:v>0.9295285359801488</x:v>
      </x:c>
      <x:c r="N27" s="42" t="n">
        <x:f>IFERROR(G27/E27,0)</x:f>
        <x:v>0.05905707196029777</x:v>
      </x:c>
      <x:c r="O27" s="42" t="n">
        <x:f>IFERROR(H27/E27,0)</x:f>
        <x:v>0.9533498759305211</x:v>
      </x:c>
      <x:c r="P27" s="43" t="n">
        <x:f>IFERROR(E27/D27,0)</x:f>
        <x:v>7.77992277992278</x:v>
      </x:c>
      <x:c r="Q27" s="42" t="n">
        <x:f>IFERROR(E27/K27,0)</x:f>
        <x:v>0.9848484848484849</x:v>
      </x:c>
    </x:row>
    <x:row r="28" ht="18" customHeight="1">
      <x:c r="A28" s="38" t="str">
        <x:v>2026-06-29</x:v>
      </x:c>
      <x:c r="B28" s="39" t="str">
        <x:v>Technical</x:v>
      </x:c>
      <x:c r="C28" s="40" t="n">
        <x:v>7</x:v>
      </x:c>
      <x:c r="D28" s="40" t="n">
        <x:v>201</x:v>
      </x:c>
      <x:c r="E28" s="40" t="n">
        <x:v>1368</x:v>
      </x:c>
      <x:c r="F28" s="40" t="n">
        <x:v>1309</x:v>
      </x:c>
      <x:c r="G28" s="40" t="n">
        <x:v>50</x:v>
      </x:c>
      <x:c r="H28" s="40" t="n">
        <x:v>1316</x:v>
      </x:c>
      <x:c r="I28" s="41" t="n">
        <x:v>8.7</x:v>
      </x:c>
      <x:c r="J28" s="40" t="n">
        <x:v>6</x:v>
      </x:c>
      <x:c r="K28" s="40" t="n">
        <x:v>1367</x:v>
      </x:c>
      <x:c r="L28" s="40" t="n">
        <x:v>0</x:v>
      </x:c>
      <x:c r="M28" s="42" t="n">
        <x:f>IFERROR(F28/E28,0)</x:f>
        <x:v>0.9568713450292398</x:v>
      </x:c>
      <x:c r="N28" s="42" t="n">
        <x:f>IFERROR(G28/E28,0)</x:f>
        <x:v>0.03654970760233918</x:v>
      </x:c>
      <x:c r="O28" s="42" t="n">
        <x:f>IFERROR(H28/E28,0)</x:f>
        <x:v>0.9619883040935673</x:v>
      </x:c>
      <x:c r="P28" s="43" t="n">
        <x:f>IFERROR(E28/D28,0)</x:f>
        <x:v>6.8059701492537314</x:v>
      </x:c>
      <x:c r="Q28" s="42" t="n">
        <x:f>IFERROR(E28/K28,0)</x:f>
        <x:v>1.0007315288953913</x:v>
      </x:c>
    </x:row>
    <x:row r="29" ht="18" customHeight="1">
      <x:c r="A29" s="38" t="str">
        <x:v>2026-06-29</x:v>
      </x:c>
      <x:c r="B29" s="39" t="str">
        <x:v>General QA</x:v>
      </x:c>
      <x:c r="C29" s="40" t="n">
        <x:v>7</x:v>
      </x:c>
      <x:c r="D29" s="40" t="n">
        <x:v>198</x:v>
      </x:c>
      <x:c r="E29" s="40" t="n">
        <x:v>1341</x:v>
      </x:c>
      <x:c r="F29" s="40" t="n">
        <x:v>1178</x:v>
      </x:c>
      <x:c r="G29" s="40" t="n">
        <x:v>137</x:v>
      </x:c>
      <x:c r="H29" s="40" t="n">
        <x:v>1198</x:v>
      </x:c>
      <x:c r="I29" s="41" t="n">
        <x:v>9.3</x:v>
      </x:c>
      <x:c r="J29" s="40" t="n">
        <x:v>8</x:v>
      </x:c>
      <x:c r="K29" s="40" t="n">
        <x:v>1426</x:v>
      </x:c>
      <x:c r="L29" s="40" t="n">
        <x:v>2</x:v>
      </x:c>
      <x:c r="M29" s="42" t="n">
        <x:f>IFERROR(F29/E29,0)</x:f>
        <x:v>0.8784489187173751</x:v>
      </x:c>
      <x:c r="N29" s="42" t="n">
        <x:f>IFERROR(G29/E29,0)</x:f>
        <x:v>0.10216256524981357</x:v>
      </x:c>
      <x:c r="O29" s="42" t="n">
        <x:f>IFERROR(H29/E29,0)</x:f>
        <x:v>0.8933631618195377</x:v>
      </x:c>
      <x:c r="P29" s="43" t="n">
        <x:f>IFERROR(E29/D29,0)</x:f>
        <x:v>6.7727272727272725</x:v>
      </x:c>
      <x:c r="Q29" s="42" t="n">
        <x:f>IFERROR(E29/K29,0)</x:f>
        <x:v>0.9403927068723703</x:v>
      </x:c>
    </x:row>
    <x:row r="30" ht="18" customHeight="1">
      <x:c r="A30" s="38" t="str">
        <x:v>2026-07-06</x:v>
      </x:c>
      <x:c r="B30" s="39" t="str">
        <x:v>US English</x:v>
      </x:c>
      <x:c r="C30" s="40" t="n">
        <x:v>12</x:v>
      </x:c>
      <x:c r="D30" s="40" t="n">
        <x:v>337</x:v>
      </x:c>
      <x:c r="E30" s="40" t="n">
        <x:v>2954</x:v>
      </x:c>
      <x:c r="F30" s="40" t="n">
        <x:v>2816</x:v>
      </x:c>
      <x:c r="G30" s="40" t="n">
        <x:v>116</x:v>
      </x:c>
      <x:c r="H30" s="40" t="n">
        <x:v>2863</x:v>
      </x:c>
      <x:c r="I30" s="41" t="n">
        <x:v>6.7</x:v>
      </x:c>
      <x:c r="J30" s="40" t="n">
        <x:v>6</x:v>
      </x:c>
      <x:c r="K30" s="40" t="n">
        <x:v>2898</x:v>
      </x:c>
      <x:c r="L30" s="40" t="n">
        <x:v>1</x:v>
      </x:c>
      <x:c r="M30" s="42" t="n">
        <x:f>IFERROR(F30/E30,0)</x:f>
        <x:v>0.953283683141503</x:v>
      </x:c>
      <x:c r="N30" s="42" t="n">
        <x:f>IFERROR(G30/E30,0)</x:f>
        <x:v>0.03926878808395396</x:v>
      </x:c>
      <x:c r="O30" s="42" t="n">
        <x:f>IFERROR(H30/E30,0)</x:f>
        <x:v>0.9691943127962085</x:v>
      </x:c>
      <x:c r="P30" s="43" t="n">
        <x:f>IFERROR(E30/D30,0)</x:f>
        <x:v>8.765578635014837</x:v>
      </x:c>
      <x:c r="Q30" s="42" t="n">
        <x:f>IFERROR(E30/K30,0)</x:f>
        <x:v>1.0193236714975846</x:v>
      </x:c>
    </x:row>
    <x:row r="31" ht="18" customHeight="1">
      <x:c r="A31" s="38" t="str">
        <x:v>2026-07-06</x:v>
      </x:c>
      <x:c r="B31" s="39" t="str">
        <x:v>Spanish</x:v>
      </x:c>
      <x:c r="C31" s="40" t="n">
        <x:v>9</x:v>
      </x:c>
      <x:c r="D31" s="40" t="n">
        <x:v>252</x:v>
      </x:c>
      <x:c r="E31" s="40" t="n">
        <x:v>1860</x:v>
      </x:c>
      <x:c r="F31" s="40" t="n">
        <x:v>1728</x:v>
      </x:c>
      <x:c r="G31" s="40" t="n">
        <x:v>111</x:v>
      </x:c>
      <x:c r="H31" s="40" t="n">
        <x:v>1756</x:v>
      </x:c>
      <x:c r="I31" s="41" t="n">
        <x:v>7.7</x:v>
      </x:c>
      <x:c r="J31" s="40" t="n">
        <x:v>5</x:v>
      </x:c>
      <x:c r="K31" s="40" t="n">
        <x:v>1991</x:v>
      </x:c>
      <x:c r="L31" s="40" t="n">
        <x:v>0</x:v>
      </x:c>
      <x:c r="M31" s="42" t="n">
        <x:f>IFERROR(F31/E31,0)</x:f>
        <x:v>0.9290322580645162</x:v>
      </x:c>
      <x:c r="N31" s="42" t="n">
        <x:f>IFERROR(G31/E31,0)</x:f>
        <x:v>0.05967741935483871</x:v>
      </x:c>
      <x:c r="O31" s="42" t="n">
        <x:f>IFERROR(H31/E31,0)</x:f>
        <x:v>0.9440860215053763</x:v>
      </x:c>
      <x:c r="P31" s="43" t="n">
        <x:f>IFERROR(E31/D31,0)</x:f>
        <x:v>7.380952380952381</x:v>
      </x:c>
      <x:c r="Q31" s="42" t="n">
        <x:f>IFERROR(E31/K31,0)</x:f>
        <x:v>0.934203917629332</x:v>
      </x:c>
    </x:row>
    <x:row r="32" ht="18" customHeight="1">
      <x:c r="A32" s="38" t="str">
        <x:v>2026-07-06</x:v>
      </x:c>
      <x:c r="B32" s="39" t="str">
        <x:v>Technical</x:v>
      </x:c>
      <x:c r="C32" s="40" t="n">
        <x:v>6</x:v>
      </x:c>
      <x:c r="D32" s="40" t="n">
        <x:v>171</x:v>
      </x:c>
      <x:c r="E32" s="40" t="n">
        <x:v>1089</x:v>
      </x:c>
      <x:c r="F32" s="40" t="n">
        <x:v>1044</x:v>
      </x:c>
      <x:c r="G32" s="40" t="n">
        <x:v>38</x:v>
      </x:c>
      <x:c r="H32" s="40" t="n">
        <x:v>1034</x:v>
      </x:c>
      <x:c r="I32" s="41" t="n">
        <x:v>8.7</x:v>
      </x:c>
      <x:c r="J32" s="40" t="n">
        <x:v>8</x:v>
      </x:c>
      <x:c r="K32" s="40" t="n">
        <x:v>1163</x:v>
      </x:c>
      <x:c r="L32" s="40" t="n">
        <x:v>0</x:v>
      </x:c>
      <x:c r="M32" s="42" t="n">
        <x:f>IFERROR(F32/E32,0)</x:f>
        <x:v>0.9586776859504132</x:v>
      </x:c>
      <x:c r="N32" s="42" t="n">
        <x:f>IFERROR(G32/E32,0)</x:f>
        <x:v>0.03489439853076217</x:v>
      </x:c>
      <x:c r="O32" s="42" t="n">
        <x:f>IFERROR(H32/E32,0)</x:f>
        <x:v>0.9494949494949495</x:v>
      </x:c>
      <x:c r="P32" s="43" t="n">
        <x:f>IFERROR(E32/D32,0)</x:f>
        <x:v>6.368421052631579</x:v>
      </x:c>
      <x:c r="Q32" s="42" t="n">
        <x:f>IFERROR(E32/K32,0)</x:f>
        <x:v>0.9363714531384351</x:v>
      </x:c>
    </x:row>
    <x:row r="33" ht="18" customHeight="1">
      <x:c r="A33" s="38" t="str">
        <x:v>2026-07-06</x:v>
      </x:c>
      <x:c r="B33" s="39" t="str">
        <x:v>General QA</x:v>
      </x:c>
      <x:c r="C33" s="40" t="n">
        <x:v>6</x:v>
      </x:c>
      <x:c r="D33" s="40" t="n">
        <x:v>171</x:v>
      </x:c>
      <x:c r="E33" s="40" t="n">
        <x:v>1202</x:v>
      </x:c>
      <x:c r="F33" s="40" t="n">
        <x:v>1099</x:v>
      </x:c>
      <x:c r="G33" s="40" t="n">
        <x:v>87</x:v>
      </x:c>
      <x:c r="H33" s="40" t="n">
        <x:v>1130</x:v>
      </x:c>
      <x:c r="I33" s="41" t="n">
        <x:v>8.3</x:v>
      </x:c>
      <x:c r="J33" s="40" t="n">
        <x:v>2</x:v>
      </x:c>
      <x:c r="K33" s="40" t="n">
        <x:v>1231</x:v>
      </x:c>
      <x:c r="L33" s="40" t="n">
        <x:v>0</x:v>
      </x:c>
      <x:c r="M33" s="42" t="n">
        <x:f>IFERROR(F33/E33,0)</x:f>
        <x:v>0.9143094841930116</x:v>
      </x:c>
      <x:c r="N33" s="42" t="n">
        <x:f>IFERROR(G33/E33,0)</x:f>
        <x:v>0.0723793677204659</x:v>
      </x:c>
      <x:c r="O33" s="42" t="n">
        <x:f>IFERROR(H33/E33,0)</x:f>
        <x:v>0.940099833610649</x:v>
      </x:c>
      <x:c r="P33" s="43" t="n">
        <x:f>IFERROR(E33/D33,0)</x:f>
        <x:v>7.029239766081871</x:v>
      </x:c>
      <x:c r="Q33" s="42" t="n">
        <x:f>IFERROR(E33/K33,0)</x:f>
        <x:v>0.9764419171405362</x:v>
      </x:c>
    </x:row>
    <x:row r="34" ht="18" customHeight="1">
      <x:c r="A34" s="38" t="str">
        <x:v>2026-07-13</x:v>
      </x:c>
      <x:c r="B34" s="39" t="str">
        <x:v>US English</x:v>
      </x:c>
      <x:c r="C34" s="40" t="n">
        <x:v>12</x:v>
      </x:c>
      <x:c r="D34" s="40" t="n">
        <x:v>344</x:v>
      </x:c>
      <x:c r="E34" s="40" t="n">
        <x:v>2914</x:v>
      </x:c>
      <x:c r="F34" s="40" t="n">
        <x:v>2778</x:v>
      </x:c>
      <x:c r="G34" s="40" t="n">
        <x:v>114</x:v>
      </x:c>
      <x:c r="H34" s="40" t="n">
        <x:v>2804</x:v>
      </x:c>
      <x:c r="I34" s="41" t="n">
        <x:v>7.2</x:v>
      </x:c>
      <x:c r="J34" s="40" t="n">
        <x:v>9</x:v>
      </x:c>
      <x:c r="K34" s="40" t="n">
        <x:v>2958</x:v>
      </x:c>
      <x:c r="L34" s="40" t="n">
        <x:v>0</x:v>
      </x:c>
      <x:c r="M34" s="42" t="n">
        <x:f>IFERROR(F34/E34,0)</x:f>
        <x:v>0.9533287577213452</x:v>
      </x:c>
      <x:c r="N34" s="42" t="n">
        <x:f>IFERROR(G34/E34,0)</x:f>
        <x:v>0.03912148249828414</x:v>
      </x:c>
      <x:c r="O34" s="42" t="n">
        <x:f>IFERROR(H34/E34,0)</x:f>
        <x:v>0.9622512010981469</x:v>
      </x:c>
      <x:c r="P34" s="43" t="n">
        <x:f>IFERROR(E34/D34,0)</x:f>
        <x:v>8.470930232558139</x:v>
      </x:c>
      <x:c r="Q34" s="42" t="n">
        <x:f>IFERROR(E34/K34,0)</x:f>
        <x:v>0.9851250845165652</x:v>
      </x:c>
    </x:row>
    <x:row r="35" ht="18" customHeight="1">
      <x:c r="A35" s="38" t="str">
        <x:v>2026-07-13</x:v>
      </x:c>
      <x:c r="B35" s="39" t="str">
        <x:v>Spanish</x:v>
      </x:c>
      <x:c r="C35" s="40" t="n">
        <x:v>10</x:v>
      </x:c>
      <x:c r="D35" s="40" t="n">
        <x:v>277</x:v>
      </x:c>
      <x:c r="E35" s="40" t="n">
        <x:v>2216</x:v>
      </x:c>
      <x:c r="F35" s="40" t="n">
        <x:v>2067</x:v>
      </x:c>
      <x:c r="G35" s="40" t="n">
        <x:v>125</x:v>
      </x:c>
      <x:c r="H35" s="40" t="n">
        <x:v>2088</x:v>
      </x:c>
      <x:c r="I35" s="41" t="n">
        <x:v>7.4</x:v>
      </x:c>
      <x:c r="J35" s="40" t="n">
        <x:v>8</x:v>
      </x:c>
      <x:c r="K35" s="40" t="n">
        <x:v>2188</x:v>
      </x:c>
      <x:c r="L35" s="40" t="n">
        <x:v>0</x:v>
      </x:c>
      <x:c r="M35" s="42" t="n">
        <x:f>IFERROR(F35/E35,0)</x:f>
        <x:v>0.9327617328519856</x:v>
      </x:c>
      <x:c r="N35" s="42" t="n">
        <x:f>IFERROR(G35/E35,0)</x:f>
        <x:v>0.056407942238267145</x:v>
      </x:c>
      <x:c r="O35" s="42" t="n">
        <x:f>IFERROR(H35/E35,0)</x:f>
        <x:v>0.9422382671480144</x:v>
      </x:c>
      <x:c r="P35" s="43" t="n">
        <x:f>IFERROR(E35/D35,0)</x:f>
        <x:v>8</x:v>
      </x:c>
      <x:c r="Q35" s="42" t="n">
        <x:f>IFERROR(E35/K35,0)</x:f>
        <x:v>1.012797074954296</x:v>
      </x:c>
    </x:row>
    <x:row r="36" ht="18" customHeight="1">
      <x:c r="A36" s="38" t="str">
        <x:v>2026-07-13</x:v>
      </x:c>
      <x:c r="B36" s="39" t="str">
        <x:v>Technical</x:v>
      </x:c>
      <x:c r="C36" s="40" t="n">
        <x:v>6</x:v>
      </x:c>
      <x:c r="D36" s="40" t="n">
        <x:v>167</x:v>
      </x:c>
      <x:c r="E36" s="40" t="n">
        <x:v>1246</x:v>
      </x:c>
      <x:c r="F36" s="40" t="n">
        <x:v>1190</x:v>
      </x:c>
      <x:c r="G36" s="40" t="n">
        <x:v>47</x:v>
      </x:c>
      <x:c r="H36" s="40" t="n">
        <x:v>1194</x:v>
      </x:c>
      <x:c r="I36" s="41" t="n">
        <x:v>8.8</x:v>
      </x:c>
      <x:c r="J36" s="40" t="n">
        <x:v>6</x:v>
      </x:c>
      <x:c r="K36" s="40" t="n">
        <x:v>1136</x:v>
      </x:c>
      <x:c r="L36" s="40" t="n">
        <x:v>1</x:v>
      </x:c>
      <x:c r="M36" s="42" t="n">
        <x:f>IFERROR(F36/E36,0)</x:f>
        <x:v>0.9550561797752809</x:v>
      </x:c>
      <x:c r="N36" s="42" t="n">
        <x:f>IFERROR(G36/E36,0)</x:f>
        <x:v>0.0377207062600321</x:v>
      </x:c>
      <x:c r="O36" s="42" t="n">
        <x:f>IFERROR(H36/E36,0)</x:f>
        <x:v>0.9582664526484751</x:v>
      </x:c>
      <x:c r="P36" s="43" t="n">
        <x:f>IFERROR(E36/D36,0)</x:f>
        <x:v>7.461077844311378</x:v>
      </x:c>
      <x:c r="Q36" s="42" t="n">
        <x:f>IFERROR(E36/K36,0)</x:f>
        <x:v>1.096830985915493</x:v>
      </x:c>
    </x:row>
    <x:row r="37" ht="18" customHeight="1">
      <x:c r="A37" s="38" t="str">
        <x:v>2026-07-13</x:v>
      </x:c>
      <x:c r="B37" s="39" t="str">
        <x:v>General QA</x:v>
      </x:c>
      <x:c r="C37" s="40" t="n">
        <x:v>6</x:v>
      </x:c>
      <x:c r="D37" s="40" t="n">
        <x:v>172</x:v>
      </x:c>
      <x:c r="E37" s="40" t="n">
        <x:v>1151</x:v>
      </x:c>
      <x:c r="F37" s="40" t="n">
        <x:v>1053</x:v>
      </x:c>
      <x:c r="G37" s="40" t="n">
        <x:v>82</x:v>
      </x:c>
      <x:c r="H37" s="40" t="n">
        <x:v>1084</x:v>
      </x:c>
      <x:c r="I37" s="41" t="n">
        <x:v>7.8</x:v>
      </x:c>
      <x:c r="J37" s="40" t="n">
        <x:v>6</x:v>
      </x:c>
      <x:c r="K37" s="40" t="n">
        <x:v>1238</x:v>
      </x:c>
      <x:c r="L37" s="40" t="n">
        <x:v>0</x:v>
      </x:c>
      <x:c r="M37" s="42" t="n">
        <x:f>IFERROR(F37/E37,0)</x:f>
        <x:v>0.9148566463944396</x:v>
      </x:c>
      <x:c r="N37" s="42" t="n">
        <x:f>IFERROR(G37/E37,0)</x:f>
        <x:v>0.07124239791485665</x:v>
      </x:c>
      <x:c r="O37" s="42" t="n">
        <x:f>IFERROR(H37/E37,0)</x:f>
        <x:v>0.9417897480451781</x:v>
      </x:c>
      <x:c r="P37" s="43" t="n">
        <x:f>IFERROR(E37/D37,0)</x:f>
        <x:v>6.691860465116279</x:v>
      </x:c>
      <x:c r="Q37" s="42" t="n">
        <x:f>IFERROR(E37/K37,0)</x:f>
        <x:v>0.9297253634894992</x:v>
      </x:c>
    </x:row>
    <x:row r="38" ht="18" customHeight="1">
      <x:c r="A38" s="38" t="str">
        <x:v>2026-07-20</x:v>
      </x:c>
      <x:c r="B38" s="39" t="str">
        <x:v>US English</x:v>
      </x:c>
      <x:c r="C38" s="40" t="n">
        <x:v>13</x:v>
      </x:c>
      <x:c r="D38" s="40" t="n">
        <x:v>355</x:v>
      </x:c>
      <x:c r="E38" s="40" t="n">
        <x:v>3164</x:v>
      </x:c>
      <x:c r="F38" s="40" t="n">
        <x:v>3015</x:v>
      </x:c>
      <x:c r="G38" s="40" t="n">
        <x:v>125</x:v>
      </x:c>
      <x:c r="H38" s="40" t="n">
        <x:v>3040</x:v>
      </x:c>
      <x:c r="I38" s="41" t="n">
        <x:v>6.7</x:v>
      </x:c>
      <x:c r="J38" s="40" t="n">
        <x:v>3</x:v>
      </x:c>
      <x:c r="K38" s="40" t="n">
        <x:v>3053</x:v>
      </x:c>
      <x:c r="L38" s="40" t="n">
        <x:v>0</x:v>
      </x:c>
      <x:c r="M38" s="42" t="n">
        <x:f>IFERROR(F38/E38,0)</x:f>
        <x:v>0.9529077117572693</x:v>
      </x:c>
      <x:c r="N38" s="42" t="n">
        <x:f>IFERROR(G38/E38,0)</x:f>
        <x:v>0.039506953223767384</x:v>
      </x:c>
      <x:c r="O38" s="42" t="n">
        <x:f>IFERROR(H38/E38,0)</x:f>
        <x:v>0.9608091024020228</x:v>
      </x:c>
      <x:c r="P38" s="43" t="n">
        <x:f>IFERROR(E38/D38,0)</x:f>
        <x:v>8.912676056338029</x:v>
      </x:c>
      <x:c r="Q38" s="42" t="n">
        <x:f>IFERROR(E38/K38,0)</x:f>
        <x:v>1.036357680969538</x:v>
      </x:c>
    </x:row>
    <x:row r="39" ht="18" customHeight="1">
      <x:c r="A39" s="38" t="str">
        <x:v>2026-07-20</x:v>
      </x:c>
      <x:c r="B39" s="39" t="str">
        <x:v>Spanish</x:v>
      </x:c>
      <x:c r="C39" s="40" t="n">
        <x:v>10</x:v>
      </x:c>
      <x:c r="D39" s="40" t="n">
        <x:v>276</x:v>
      </x:c>
      <x:c r="E39" s="40" t="n">
        <x:v>2092</x:v>
      </x:c>
      <x:c r="F39" s="40" t="n">
        <x:v>1945</x:v>
      </x:c>
      <x:c r="G39" s="40" t="n">
        <x:v>123</x:v>
      </x:c>
      <x:c r="H39" s="40" t="n">
        <x:v>1989</x:v>
      </x:c>
      <x:c r="I39" s="41" t="n">
        <x:v>7.4</x:v>
      </x:c>
      <x:c r="J39" s="40" t="n">
        <x:v>5</x:v>
      </x:c>
      <x:c r="K39" s="40" t="n">
        <x:v>2180</x:v>
      </x:c>
      <x:c r="L39" s="40" t="n">
        <x:v>0</x:v>
      </x:c>
      <x:c r="M39" s="42" t="n">
        <x:f>IFERROR(F39/E39,0)</x:f>
        <x:v>0.9297323135755258</x:v>
      </x:c>
      <x:c r="N39" s="42" t="n">
        <x:f>IFERROR(G39/E39,0)</x:f>
        <x:v>0.058795411089866155</x:v>
      </x:c>
      <x:c r="O39" s="42" t="n">
        <x:f>IFERROR(H39/E39,0)</x:f>
        <x:v>0.9507648183556405</x:v>
      </x:c>
      <x:c r="P39" s="43" t="n">
        <x:f>IFERROR(E39/D39,0)</x:f>
        <x:v>7.579710144927536</x:v>
      </x:c>
      <x:c r="Q39" s="42" t="n">
        <x:f>IFERROR(E39/K39,0)</x:f>
        <x:v>0.9596330275229358</x:v>
      </x:c>
    </x:row>
    <x:row r="40" ht="18" customHeight="1">
      <x:c r="A40" s="38" t="str">
        <x:v>2026-07-20</x:v>
      </x:c>
      <x:c r="B40" s="39" t="str">
        <x:v>Technical</x:v>
      </x:c>
      <x:c r="C40" s="40" t="n">
        <x:v>7</x:v>
      </x:c>
      <x:c r="D40" s="40" t="n">
        <x:v>199</x:v>
      </x:c>
      <x:c r="E40" s="40" t="n">
        <x:v>1472</x:v>
      </x:c>
      <x:c r="F40" s="40" t="n">
        <x:v>1407</x:v>
      </x:c>
      <x:c r="G40" s="40" t="n">
        <x:v>55</x:v>
      </x:c>
      <x:c r="H40" s="40" t="n">
        <x:v>1416</x:v>
      </x:c>
      <x:c r="I40" s="41" t="n">
        <x:v>9</x:v>
      </x:c>
      <x:c r="J40" s="40" t="n">
        <x:v>7</x:v>
      </x:c>
      <x:c r="K40" s="40" t="n">
        <x:v>1353</x:v>
      </x:c>
      <x:c r="L40" s="40" t="n">
        <x:v>0</x:v>
      </x:c>
      <x:c r="M40" s="42" t="n">
        <x:f>IFERROR(F40/E40,0)</x:f>
        <x:v>0.9558423913043478</x:v>
      </x:c>
      <x:c r="N40" s="42" t="n">
        <x:f>IFERROR(G40/E40,0)</x:f>
        <x:v>0.03736413043478261</x:v>
      </x:c>
      <x:c r="O40" s="42" t="n">
        <x:f>IFERROR(H40/E40,0)</x:f>
        <x:v>0.9619565217391305</x:v>
      </x:c>
      <x:c r="P40" s="43" t="n">
        <x:f>IFERROR(E40/D40,0)</x:f>
        <x:v>7.396984924623116</x:v>
      </x:c>
      <x:c r="Q40" s="42" t="n">
        <x:f>IFERROR(E40/K40,0)</x:f>
        <x:v>1.0879526977087952</x:v>
      </x:c>
    </x:row>
    <x:row r="41" ht="18" customHeight="1">
      <x:c r="A41" s="38" t="str">
        <x:v>2026-07-20</x:v>
      </x:c>
      <x:c r="B41" s="39" t="str">
        <x:v>General QA</x:v>
      </x:c>
      <x:c r="C41" s="40" t="n">
        <x:v>6</x:v>
      </x:c>
      <x:c r="D41" s="40" t="n">
        <x:v>173</x:v>
      </x:c>
      <x:c r="E41" s="40" t="n">
        <x:v>1194</x:v>
      </x:c>
      <x:c r="F41" s="40" t="n">
        <x:v>1102</x:v>
      </x:c>
      <x:c r="G41" s="40" t="n">
        <x:v>77</x:v>
      </x:c>
      <x:c r="H41" s="40" t="n">
        <x:v>1114</x:v>
      </x:c>
      <x:c r="I41" s="41" t="n">
        <x:v>8</x:v>
      </x:c>
      <x:c r="J41" s="40" t="n">
        <x:v>5</x:v>
      </x:c>
      <x:c r="K41" s="40" t="n">
        <x:v>1246</x:v>
      </x:c>
      <x:c r="L41" s="40" t="n">
        <x:v>0</x:v>
      </x:c>
      <x:c r="M41" s="42" t="n">
        <x:f>IFERROR(F41/E41,0)</x:f>
        <x:v>0.9229480737018425</x:v>
      </x:c>
      <x:c r="N41" s="42" t="n">
        <x:f>IFERROR(G41/E41,0)</x:f>
        <x:v>0.06448911222780569</x:v>
      </x:c>
      <x:c r="O41" s="42" t="n">
        <x:f>IFERROR(H41/E41,0)</x:f>
        <x:v>0.932998324958124</x:v>
      </x:c>
      <x:c r="P41" s="43" t="n">
        <x:f>IFERROR(E41/D41,0)</x:f>
        <x:v>6.901734104046243</x:v>
      </x:c>
      <x:c r="Q41" s="42" t="n">
        <x:f>IFERROR(E41/K41,0)</x:f>
        <x:v>0.9582664526484751</x:v>
      </x:c>
    </x:row>
    <x:row r="42" ht="18" customHeight="1">
      <x:c r="A42" s="38" t="str">
        <x:v>2026-07-27</x:v>
      </x:c>
      <x:c r="B42" s="39" t="str">
        <x:v>US English</x:v>
      </x:c>
      <x:c r="C42" s="40" t="n">
        <x:v>12</x:v>
      </x:c>
      <x:c r="D42" s="40" t="n">
        <x:v>331</x:v>
      </x:c>
      <x:c r="E42" s="40" t="n">
        <x:v>2864</x:v>
      </x:c>
      <x:c r="F42" s="40" t="n">
        <x:v>2702</x:v>
      </x:c>
      <x:c r="G42" s="40" t="n">
        <x:v>136</x:v>
      </x:c>
      <x:c r="H42" s="40" t="n">
        <x:v>2777</x:v>
      </x:c>
      <x:c r="I42" s="41" t="n">
        <x:v>6.7</x:v>
      </x:c>
      <x:c r="J42" s="40" t="n">
        <x:v>8</x:v>
      </x:c>
      <x:c r="K42" s="40" t="n">
        <x:v>2847</x:v>
      </x:c>
      <x:c r="L42" s="40" t="n">
        <x:v>0</x:v>
      </x:c>
      <x:c r="M42" s="42" t="n">
        <x:f>IFERROR(F42/E42,0)</x:f>
        <x:v>0.9434357541899442</x:v>
      </x:c>
      <x:c r="N42" s="42" t="n">
        <x:f>IFERROR(G42/E42,0)</x:f>
        <x:v>0.04748603351955307</x:v>
      </x:c>
      <x:c r="O42" s="42" t="n">
        <x:f>IFERROR(H42/E42,0)</x:f>
        <x:v>0.9696229050279329</x:v>
      </x:c>
      <x:c r="P42" s="43" t="n">
        <x:f>IFERROR(E42/D42,0)</x:f>
        <x:v>8.652567975830816</x:v>
      </x:c>
      <x:c r="Q42" s="42" t="n">
        <x:f>IFERROR(E42/K42,0)</x:f>
        <x:v>1.0059711977520196</x:v>
      </x:c>
    </x:row>
    <x:row r="43" ht="18" customHeight="1">
      <x:c r="A43" s="38" t="str">
        <x:v>2026-07-27</x:v>
      </x:c>
      <x:c r="B43" s="39" t="str">
        <x:v>Spanish</x:v>
      </x:c>
      <x:c r="C43" s="40" t="n">
        <x:v>9</x:v>
      </x:c>
      <x:c r="D43" s="40" t="n">
        <x:v>247</x:v>
      </x:c>
      <x:c r="E43" s="40" t="n">
        <x:v>2000</x:v>
      </x:c>
      <x:c r="F43" s="40" t="n">
        <x:v>1874</x:v>
      </x:c>
      <x:c r="G43" s="40" t="n">
        <x:v>106</x:v>
      </x:c>
      <x:c r="H43" s="40" t="n">
        <x:v>1894</x:v>
      </x:c>
      <x:c r="I43" s="41" t="n">
        <x:v>7.1</x:v>
      </x:c>
      <x:c r="J43" s="40" t="n">
        <x:v>4</x:v>
      </x:c>
      <x:c r="K43" s="40" t="n">
        <x:v>1951</x:v>
      </x:c>
      <x:c r="L43" s="40" t="n">
        <x:v>0</x:v>
      </x:c>
      <x:c r="M43" s="42" t="n">
        <x:f>IFERROR(F43/E43,0)</x:f>
        <x:v>0.937</x:v>
      </x:c>
      <x:c r="N43" s="42" t="n">
        <x:f>IFERROR(G43/E43,0)</x:f>
        <x:v>0.053</x:v>
      </x:c>
      <x:c r="O43" s="42" t="n">
        <x:f>IFERROR(H43/E43,0)</x:f>
        <x:v>0.947</x:v>
      </x:c>
      <x:c r="P43" s="43" t="n">
        <x:f>IFERROR(E43/D43,0)</x:f>
        <x:v>8.097165991902834</x:v>
      </x:c>
      <x:c r="Q43" s="42" t="n">
        <x:f>IFERROR(E43/K43,0)</x:f>
        <x:v>1.0251153254741159</x:v>
      </x:c>
    </x:row>
    <x:row r="44" ht="18" customHeight="1">
      <x:c r="A44" s="38" t="str">
        <x:v>2026-07-27</x:v>
      </x:c>
      <x:c r="B44" s="39" t="str">
        <x:v>Technical</x:v>
      </x:c>
      <x:c r="C44" s="40" t="n">
        <x:v>7</x:v>
      </x:c>
      <x:c r="D44" s="40" t="n">
        <x:v>197</x:v>
      </x:c>
      <x:c r="E44" s="40" t="n">
        <x:v>1234</x:v>
      </x:c>
      <x:c r="F44" s="40" t="n">
        <x:v>1173</x:v>
      </x:c>
      <x:c r="G44" s="40" t="n">
        <x:v>51</x:v>
      </x:c>
      <x:c r="H44" s="40" t="n">
        <x:v>1174</x:v>
      </x:c>
      <x:c r="I44" s="41" t="n">
        <x:v>8.6</x:v>
      </x:c>
      <x:c r="J44" s="40" t="n">
        <x:v>4</x:v>
      </x:c>
      <x:c r="K44" s="40" t="n">
        <x:v>1340</x:v>
      </x:c>
      <x:c r="L44" s="40" t="n">
        <x:v>0</x:v>
      </x:c>
      <x:c r="M44" s="42" t="n">
        <x:f>IFERROR(F44/E44,0)</x:f>
        <x:v>0.9505672609400324</x:v>
      </x:c>
      <x:c r="N44" s="42" t="n">
        <x:f>IFERROR(G44/E44,0)</x:f>
        <x:v>0.041329011345218804</x:v>
      </x:c>
      <x:c r="O44" s="42" t="n">
        <x:f>IFERROR(H44/E44,0)</x:f>
        <x:v>0.9513776337115073</x:v>
      </x:c>
      <x:c r="P44" s="43" t="n">
        <x:f>IFERROR(E44/D44,0)</x:f>
        <x:v>6.2639593908629445</x:v>
      </x:c>
      <x:c r="Q44" s="42" t="n">
        <x:f>IFERROR(E44/K44,0)</x:f>
        <x:v>0.9208955223880597</x:v>
      </x:c>
    </x:row>
    <x:row r="45" ht="18" customHeight="1">
      <x:c r="A45" s="38" t="str">
        <x:v>2026-07-27</x:v>
      </x:c>
      <x:c r="B45" s="39" t="str">
        <x:v>General QA</x:v>
      </x:c>
      <x:c r="C45" s="40" t="n">
        <x:v>6</x:v>
      </x:c>
      <x:c r="D45" s="40" t="n">
        <x:v>174</x:v>
      </x:c>
      <x:c r="E45" s="40" t="n">
        <x:v>1189</x:v>
      </x:c>
      <x:c r="F45" s="40" t="n">
        <x:v>1082</x:v>
      </x:c>
      <x:c r="G45" s="40" t="n">
        <x:v>90</x:v>
      </x:c>
      <x:c r="H45" s="40" t="n">
        <x:v>1114</x:v>
      </x:c>
      <x:c r="I45" s="41" t="n">
        <x:v>7.8</x:v>
      </x:c>
      <x:c r="J45" s="40" t="n">
        <x:v>3</x:v>
      </x:c>
      <x:c r="K45" s="40" t="n">
        <x:v>1253</x:v>
      </x:c>
      <x:c r="L45" s="40" t="n">
        <x:v>1</x:v>
      </x:c>
      <x:c r="M45" s="42" t="n">
        <x:f>IFERROR(F45/E45,0)</x:f>
        <x:v>0.9100084104289319</x:v>
      </x:c>
      <x:c r="N45" s="42" t="n">
        <x:f>IFERROR(G45/E45,0)</x:f>
        <x:v>0.07569386038687972</x:v>
      </x:c>
      <x:c r="O45" s="42" t="n">
        <x:f>IFERROR(H45/E45,0)</x:f>
        <x:v>0.9369217830109335</x:v>
      </x:c>
      <x:c r="P45" s="43" t="n">
        <x:f>IFERROR(E45/D45,0)</x:f>
        <x:v>6.833333333333333</x:v>
      </x:c>
      <x:c r="Q45" s="42" t="n">
        <x:f>IFERROR(E45/K45,0)</x:f>
        <x:v>0.9489225857940942</x:v>
      </x:c>
    </x:row>
    <x:row r="46" ht="18" customHeight="1">
      <x:c r="A46" s="38" t="str">
        <x:v>2026-08-03</x:v>
      </x:c>
      <x:c r="B46" s="39" t="str">
        <x:v>US English</x:v>
      </x:c>
      <x:c r="C46" s="40" t="n">
        <x:v>12</x:v>
      </x:c>
      <x:c r="D46" s="40" t="n">
        <x:v>346</x:v>
      </x:c>
      <x:c r="E46" s="40" t="n">
        <x:v>3071</x:v>
      </x:c>
      <x:c r="F46" s="40" t="n">
        <x:v>2898</x:v>
      </x:c>
      <x:c r="G46" s="40" t="n">
        <x:v>145</x:v>
      </x:c>
      <x:c r="H46" s="40" t="n">
        <x:v>2946</x:v>
      </x:c>
      <x:c r="I46" s="41" t="n">
        <x:v>6.5</x:v>
      </x:c>
      <x:c r="J46" s="40" t="n">
        <x:v>7</x:v>
      </x:c>
      <x:c r="K46" s="40" t="n">
        <x:v>2976</x:v>
      </x:c>
      <x:c r="L46" s="40" t="n">
        <x:v>0</x:v>
      </x:c>
      <x:c r="M46" s="42" t="n">
        <x:f>IFERROR(F46/E46,0)</x:f>
        <x:v>0.9436665581243895</x:v>
      </x:c>
      <x:c r="N46" s="42" t="n">
        <x:f>IFERROR(G46/E46,0)</x:f>
        <x:v>0.047215890589384565</x:v>
      </x:c>
      <x:c r="O46" s="42" t="n">
        <x:f>IFERROR(H46/E46,0)</x:f>
        <x:v>0.959296646043634</x:v>
      </x:c>
      <x:c r="P46" s="43" t="n">
        <x:f>IFERROR(E46/D46,0)</x:f>
        <x:v>8.875722543352602</x:v>
      </x:c>
      <x:c r="Q46" s="42" t="n">
        <x:f>IFERROR(E46/K46,0)</x:f>
        <x:v>1.0319220430107527</x:v>
      </x:c>
    </x:row>
    <x:row r="47" ht="18" customHeight="1">
      <x:c r="A47" s="38" t="str">
        <x:v>2026-08-03</x:v>
      </x:c>
      <x:c r="B47" s="39" t="str">
        <x:v>Spanish</x:v>
      </x:c>
      <x:c r="C47" s="40" t="n">
        <x:v>9</x:v>
      </x:c>
      <x:c r="D47" s="40" t="n">
        <x:v>250</x:v>
      </x:c>
      <x:c r="E47" s="40" t="n">
        <x:v>1883</x:v>
      </x:c>
      <x:c r="F47" s="40" t="n">
        <x:v>1740</x:v>
      </x:c>
      <x:c r="G47" s="40" t="n">
        <x:v>120</x:v>
      </x:c>
      <x:c r="H47" s="40" t="n">
        <x:v>1789</x:v>
      </x:c>
      <x:c r="I47" s="41" t="n">
        <x:v>7.4</x:v>
      </x:c>
      <x:c r="J47" s="40" t="n">
        <x:v>8</x:v>
      </x:c>
      <x:c r="K47" s="40" t="n">
        <x:v>1975</x:v>
      </x:c>
      <x:c r="L47" s="40" t="n">
        <x:v>1</x:v>
      </x:c>
      <x:c r="M47" s="42" t="n">
        <x:f>IFERROR(F47/E47,0)</x:f>
        <x:v>0.924057355284121</x:v>
      </x:c>
      <x:c r="N47" s="42" t="n">
        <x:f>IFERROR(G47/E47,0)</x:f>
        <x:v>0.06372809346787042</x:v>
      </x:c>
      <x:c r="O47" s="42" t="n">
        <x:f>IFERROR(H47/E47,0)</x:f>
        <x:v>0.9500796601168349</x:v>
      </x:c>
      <x:c r="P47" s="43" t="n">
        <x:f>IFERROR(E47/D47,0)</x:f>
        <x:v>7.532</x:v>
      </x:c>
      <x:c r="Q47" s="42" t="n">
        <x:f>IFERROR(E47/K47,0)</x:f>
        <x:v>0.9534177215189873</x:v>
      </x:c>
    </x:row>
    <x:row r="48" ht="18" customHeight="1">
      <x:c r="A48" s="38" t="str">
        <x:v>2026-08-03</x:v>
      </x:c>
      <x:c r="B48" s="39" t="str">
        <x:v>Technical</x:v>
      </x:c>
      <x:c r="C48" s="40" t="n">
        <x:v>7</x:v>
      </x:c>
      <x:c r="D48" s="40" t="n">
        <x:v>199</x:v>
      </x:c>
      <x:c r="E48" s="40" t="n">
        <x:v>1265</x:v>
      </x:c>
      <x:c r="F48" s="40" t="n">
        <x:v>1220</x:v>
      </x:c>
      <x:c r="G48" s="40" t="n">
        <x:v>38</x:v>
      </x:c>
      <x:c r="H48" s="40" t="n">
        <x:v>1200</x:v>
      </x:c>
      <x:c r="I48" s="41" t="n">
        <x:v>8.4</x:v>
      </x:c>
      <x:c r="J48" s="40" t="n">
        <x:v>7</x:v>
      </x:c>
      <x:c r="K48" s="40" t="n">
        <x:v>1353</x:v>
      </x:c>
      <x:c r="L48" s="40" t="n">
        <x:v>0</x:v>
      </x:c>
      <x:c r="M48" s="42" t="n">
        <x:f>IFERROR(F48/E48,0)</x:f>
        <x:v>0.9644268774703557</x:v>
      </x:c>
      <x:c r="N48" s="42" t="n">
        <x:f>IFERROR(G48/E48,0)</x:f>
        <x:v>0.030039525691699605</x:v>
      </x:c>
      <x:c r="O48" s="42" t="n">
        <x:f>IFERROR(H48/E48,0)</x:f>
        <x:v>0.9486166007905138</x:v>
      </x:c>
      <x:c r="P48" s="43" t="n">
        <x:f>IFERROR(E48/D48,0)</x:f>
        <x:v>6.35678391959799</x:v>
      </x:c>
      <x:c r="Q48" s="42" t="n">
        <x:f>IFERROR(E48/K48,0)</x:f>
        <x:v>0.9349593495934959</x:v>
      </x:c>
    </x:row>
    <x:row r="49" ht="18" customHeight="1">
      <x:c r="A49" s="38" t="str">
        <x:v>2026-08-03</x:v>
      </x:c>
      <x:c r="B49" s="39" t="str">
        <x:v>General QA</x:v>
      </x:c>
      <x:c r="C49" s="40" t="n">
        <x:v>6</x:v>
      </x:c>
      <x:c r="D49" s="40" t="n">
        <x:v>167</x:v>
      </x:c>
      <x:c r="E49" s="40" t="n">
        <x:v>1218</x:v>
      </x:c>
      <x:c r="F49" s="40" t="n">
        <x:v>1113</x:v>
      </x:c>
      <x:c r="G49" s="40" t="n">
        <x:v>88</x:v>
      </x:c>
      <x:c r="H49" s="40" t="n">
        <x:v>1132</x:v>
      </x:c>
      <x:c r="I49" s="41" t="n">
        <x:v>8.4</x:v>
      </x:c>
      <x:c r="J49" s="40" t="n">
        <x:v>5</x:v>
      </x:c>
      <x:c r="K49" s="40" t="n">
        <x:v>1202</x:v>
      </x:c>
      <x:c r="L49" s="40" t="n">
        <x:v>0</x:v>
      </x:c>
      <x:c r="M49" s="42" t="n">
        <x:f>IFERROR(F49/E49,0)</x:f>
        <x:v>0.9137931034482759</x:v>
      </x:c>
      <x:c r="N49" s="42" t="n">
        <x:f>IFERROR(G49/E49,0)</x:f>
        <x:v>0.0722495894909688</x:v>
      </x:c>
      <x:c r="O49" s="42" t="n">
        <x:f>IFERROR(H49/E49,0)</x:f>
        <x:v>0.9293924466338259</x:v>
      </x:c>
      <x:c r="P49" s="43" t="n">
        <x:f>IFERROR(E49/D49,0)</x:f>
        <x:v>7.293413173652695</x:v>
      </x:c>
      <x:c r="Q49" s="42" t="n">
        <x:f>IFERROR(E49/K49,0)</x:f>
        <x:v>1.0133111480865225</x:v>
      </x:c>
    </x:row>
  </x:sheetData>
  <x:conditionalFormatting sqref="M2:M49">
    <x:cfRule type="cellIs" dxfId="0" priority="1" operator="lessThan">
      <x:formula>0.9</x:formula>
    </x:cfRule>
  </x:conditionalFormatting>
  <x:conditionalFormatting sqref="O2:O49">
    <x:cfRule type="cellIs" dxfId="1" priority="2" operator="lessThan">
      <x:formula>0.92</x:formula>
    </x:cfRule>
  </x:conditionalFormatting>
  <x:conditionalFormatting sqref="Q2:Q49">
    <x:cfRule type="cellIs" dxfId="2" priority="3" operator="greaterThan">
      <x:formula>1.05</x:formula>
    </x:cfRule>
  </x:conditionalFormatting>
  <x:conditionalFormatting sqref="L2:L49">
    <x:cfRule type="cellIs" dxfId="3" priority="4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642f318539545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392" t="str">
        <x:v>AI OPERATIONS QUALITY DASHBOARD</x:v>
      </x:c>
      <x:c r="B1" s="392"/>
      <x:c r="C1" s="392"/>
      <x:c r="D1" s="392"/>
      <x:c r="E1" s="392"/>
      <x:c r="F1" s="392"/>
      <x:c r="G1" s="392"/>
      <x:c r="H1" s="392"/>
      <x:c r="I1" s="392"/>
      <x:c r="J1" s="392"/>
      <x:c r="K1" s="392"/>
      <x:c r="L1" s="392"/>
      <x:c r="M1" s="392"/>
      <x:c r="N1" s="392"/>
      <x:c r="O1" s="392"/>
    </x:row>
    <x:row r="2">
      <x:c r="A2" s="392"/>
      <x:c r="B2" s="392"/>
      <x:c r="C2" s="392"/>
      <x:c r="D2" s="392"/>
      <x:c r="E2" s="392"/>
      <x:c r="F2" s="392"/>
      <x:c r="G2" s="392"/>
      <x:c r="H2" s="392"/>
      <x:c r="I2" s="392"/>
      <x:c r="J2" s="392"/>
      <x:c r="K2" s="392"/>
      <x:c r="L2" s="392"/>
      <x:c r="M2" s="392"/>
      <x:c r="N2" s="392"/>
      <x:c r="O2" s="392"/>
    </x:row>
    <x:row r="3">
      <x:c r="A3" s="393" t="str">
        <x:v>Synthetic 12-week portfolio dataset | Four remote teams | Updated 2026-08-10</x:v>
      </x:c>
      <x:c r="B3" s="393"/>
      <x:c r="C3" s="393"/>
      <x:c r="D3" s="393"/>
      <x:c r="E3" s="393"/>
      <x:c r="F3" s="393"/>
      <x:c r="G3" s="393"/>
      <x:c r="H3" s="393"/>
      <x:c r="I3" s="393"/>
      <x:c r="J3" s="393"/>
      <x:c r="K3" s="393"/>
      <x:c r="L3" s="393"/>
      <x:c r="M3" s="393"/>
      <x:c r="N3" s="393"/>
      <x:c r="O3" s="393"/>
    </x:row>
    <x:row r="4">
      <x:c r="A4" s="394"/>
      <x:c r="B4" s="394"/>
      <x:c r="C4" s="394"/>
      <x:c r="D4" s="394"/>
      <x:c r="E4" s="394"/>
      <x:c r="F4" s="394"/>
      <x:c r="G4" s="394"/>
      <x:c r="H4" s="394"/>
      <x:c r="I4" s="394"/>
      <x:c r="J4" s="394"/>
      <x:c r="K4" s="394"/>
      <x:c r="L4" s="394"/>
      <x:c r="M4" s="394"/>
      <x:c r="N4" s="394"/>
      <x:c r="O4" s="394"/>
    </x:row>
    <x:row r="5">
      <x:c r="A5" s="395" t="str">
        <x:v>Tasks Completed</x:v>
      </x:c>
      <x:c r="B5" s="396"/>
      <x:c r="C5" s="397"/>
      <x:c r="D5" s="394"/>
      <x:c r="E5" s="398" t="str">
        <x:v>First-Pass Quality</x:v>
      </x:c>
      <x:c r="F5" s="399"/>
      <x:c r="G5" s="400"/>
      <x:c r="H5" s="394"/>
      <x:c r="I5" s="401" t="str">
        <x:v>SLA Attainment</x:v>
      </x:c>
      <x:c r="J5" s="402"/>
      <x:c r="K5" s="403"/>
      <x:c r="L5" s="394"/>
      <x:c r="M5" s="404" t="str">
        <x:v>Productivity (Tasks/Hour)</x:v>
      </x:c>
      <x:c r="N5" s="405"/>
      <x:c r="O5" s="406"/>
    </x:row>
    <x:row r="6">
      <x:c r="A6" s="407" t="n">
        <x:f>SUM('Weekly Data'!$E$2:$E$49)</x:f>
        <x:v>88338</x:v>
      </x:c>
      <x:c r="B6" s="408"/>
      <x:c r="C6" s="409"/>
      <x:c r="D6" s="394"/>
      <x:c r="E6" s="410" t="n">
        <x:f>SUM('Weekly Data'!$F$2:$F$49)/SUM('Weekly Data'!$E$2:$E$49)</x:f>
        <x:v>0.9388824741334421</x:v>
      </x:c>
      <x:c r="F6" s="411"/>
      <x:c r="G6" s="412"/>
      <x:c r="H6" s="394"/>
      <x:c r="I6" s="413" t="n">
        <x:f>SUM('Weekly Data'!$H$2:$H$49)/SUM('Weekly Data'!$E$2:$E$49)</x:f>
        <x:v>0.9514365278815459</x:v>
      </x:c>
      <x:c r="J6" s="414"/>
      <x:c r="K6" s="415"/>
      <x:c r="L6" s="394"/>
      <x:c r="M6" s="416" t="n">
        <x:f>SUM('Weekly Data'!$E$2:$E$49)/SUM('Weekly Data'!$D$2:$D$49)</x:f>
        <x:v>7.611407892469412</x:v>
      </x:c>
      <x:c r="N6" s="417"/>
      <x:c r="O6" s="418"/>
    </x:row>
    <x:row r="7">
      <x:c r="A7" s="419"/>
      <x:c r="B7" s="420"/>
      <x:c r="C7" s="421"/>
      <x:c r="D7" s="394"/>
      <x:c r="E7" s="422"/>
      <x:c r="F7" s="423"/>
      <x:c r="G7" s="424"/>
      <x:c r="H7" s="394"/>
      <x:c r="I7" s="425"/>
      <x:c r="J7" s="426"/>
      <x:c r="K7" s="427"/>
      <x:c r="L7" s="394"/>
      <x:c r="M7" s="428"/>
      <x:c r="N7" s="429"/>
      <x:c r="O7" s="430"/>
    </x:row>
    <x:row r="8">
      <x:c r="A8" s="394"/>
      <x:c r="B8" s="394"/>
      <x:c r="C8" s="394"/>
      <x:c r="D8" s="394"/>
      <x:c r="E8" s="394"/>
      <x:c r="F8" s="394"/>
      <x:c r="G8" s="394"/>
      <x:c r="H8" s="394"/>
      <x:c r="I8" s="394"/>
      <x:c r="J8" s="394"/>
      <x:c r="K8" s="394"/>
      <x:c r="L8" s="394"/>
      <x:c r="M8" s="394"/>
      <x:c r="N8" s="394"/>
      <x:c r="O8" s="394"/>
    </x:row>
    <x:row r="9">
      <x:c r="A9" s="431" t="str">
        <x:v>Week Start</x:v>
      </x:c>
      <x:c r="B9" s="431" t="str">
        <x:v>First-Pass Quality</x:v>
      </x:c>
      <x:c r="C9" s="431" t="str">
        <x:v>SLA Attainment</x:v>
      </x:c>
      <x:c r="D9" s="431" t="str">
        <x:v>Tasks</x:v>
      </x:c>
      <x:c r="E9" s="394"/>
      <x:c r="F9" s="394"/>
      <x:c r="G9" s="394"/>
      <x:c r="H9" s="394"/>
      <x:c r="I9" s="394"/>
      <x:c r="J9" s="394"/>
      <x:c r="K9" s="394"/>
      <x:c r="L9" s="394"/>
      <x:c r="M9" s="394"/>
      <x:c r="N9" s="394"/>
      <x:c r="O9" s="394"/>
    </x:row>
    <x:row r="10">
      <x:c r="A10" s="432" t="str">
        <x:v>2026-05-18</x:v>
      </x:c>
      <x:c r="B10" s="433" t="n">
        <x:f>IFERROR(SUMIFS('Weekly Data'!$F$2:$F$49,'Weekly Data'!$A$2:$A$49,A10)/SUMIFS('Weekly Data'!$E$2:$E$49,'Weekly Data'!$A$2:$A$49,A10),0)</x:f>
        <x:v>0.9418712674187126</x:v>
      </x:c>
      <x:c r="C10" s="433" t="n">
        <x:f>IFERROR(SUMIFS('Weekly Data'!$H$2:$H$49,'Weekly Data'!$A$2:$A$49,A10)/SUMIFS('Weekly Data'!$E$2:$E$49,'Weekly Data'!$A$2:$A$49,A10),0)</x:f>
        <x:v>0.9519575315195753</x:v>
      </x:c>
      <x:c r="D10" s="434" t="n">
        <x:f>SUMIFS('Weekly Data'!$E$2:$E$49,'Weekly Data'!$A$2:$A$49,A10)</x:f>
        <x:v>7535</x:v>
      </x:c>
      <x:c r="E10" s="394"/>
      <x:c r="F10" s="394"/>
      <x:c r="G10" s="394"/>
      <x:c r="H10" s="394"/>
      <x:c r="I10" s="394"/>
      <x:c r="J10" s="394"/>
      <x:c r="K10" s="394"/>
      <x:c r="L10" s="394"/>
      <x:c r="M10" s="394"/>
      <x:c r="N10" s="394"/>
      <x:c r="O10" s="394"/>
    </x:row>
    <x:row r="11">
      <x:c r="A11" s="435" t="str">
        <x:v>2026-05-25</x:v>
      </x:c>
      <x:c r="B11" s="436" t="n">
        <x:f>IFERROR(SUMIFS('Weekly Data'!$F$2:$F$49,'Weekly Data'!$A$2:$A$49,A11)/SUMIFS('Weekly Data'!$E$2:$E$49,'Weekly Data'!$A$2:$A$49,A11),0)</x:f>
        <x:v>0.9432755189081604</x:v>
      </x:c>
      <x:c r="C11" s="436" t="n">
        <x:f>IFERROR(SUMIFS('Weekly Data'!$H$2:$H$49,'Weekly Data'!$A$2:$A$49,A11)/SUMIFS('Weekly Data'!$E$2:$E$49,'Weekly Data'!$A$2:$A$49,A11),0)</x:f>
        <x:v>0.9512368495877168</x:v>
      </x:c>
      <x:c r="D11" s="437" t="n">
        <x:f>SUMIFS('Weekly Data'!$E$2:$E$49,'Weekly Data'!$A$2:$A$49,A11)</x:f>
        <x:v>7034</x:v>
      </x:c>
      <x:c r="E11" s="394"/>
      <x:c r="F11" s="394"/>
      <x:c r="G11" s="394"/>
      <x:c r="H11" s="394"/>
      <x:c r="I11" s="394"/>
      <x:c r="J11" s="394"/>
      <x:c r="K11" s="394"/>
      <x:c r="L11" s="394"/>
      <x:c r="M11" s="394"/>
      <x:c r="N11" s="394"/>
      <x:c r="O11" s="394"/>
    </x:row>
    <x:row r="12">
      <x:c r="A12" s="435" t="str">
        <x:v>2026-06-01</x:v>
      </x:c>
      <x:c r="B12" s="436" t="n">
        <x:f>IFERROR(SUMIFS('Weekly Data'!$F$2:$F$49,'Weekly Data'!$A$2:$A$49,A12)/SUMIFS('Weekly Data'!$E$2:$E$49,'Weekly Data'!$A$2:$A$49,A12),0)</x:f>
        <x:v>0.9399495150790488</x:v>
      </x:c>
      <x:c r="C12" s="436" t="n">
        <x:f>IFERROR(SUMIFS('Weekly Data'!$H$2:$H$49,'Weekly Data'!$A$2:$A$49,A12)/SUMIFS('Weekly Data'!$E$2:$E$49,'Weekly Data'!$A$2:$A$49,A12),0)</x:f>
        <x:v>0.950179354324432</x:v>
      </x:c>
      <x:c r="D12" s="437" t="n">
        <x:f>SUMIFS('Weekly Data'!$E$2:$E$49,'Weekly Data'!$A$2:$A$49,A12)</x:f>
        <x:v>7527</x:v>
      </x:c>
      <x:c r="E12" s="394"/>
      <x:c r="F12" s="394"/>
      <x:c r="G12" s="394"/>
      <x:c r="H12" s="394"/>
      <x:c r="I12" s="394"/>
      <x:c r="J12" s="394"/>
      <x:c r="K12" s="394"/>
      <x:c r="L12" s="394"/>
      <x:c r="M12" s="394"/>
      <x:c r="N12" s="394"/>
      <x:c r="O12" s="394"/>
    </x:row>
    <x:row r="13">
      <x:c r="A13" s="435" t="str">
        <x:v>2026-06-08</x:v>
      </x:c>
      <x:c r="B13" s="436" t="n">
        <x:f>IFERROR(SUMIFS('Weekly Data'!$F$2:$F$49,'Weekly Data'!$A$2:$A$49,A13)/SUMIFS('Weekly Data'!$E$2:$E$49,'Weekly Data'!$A$2:$A$49,A13),0)</x:f>
        <x:v>0.9400486092357548</x:v>
      </x:c>
      <x:c r="C13" s="436" t="n">
        <x:f>IFERROR(SUMIFS('Weekly Data'!$H$2:$H$49,'Weekly Data'!$A$2:$A$49,A13)/SUMIFS('Weekly Data'!$E$2:$E$49,'Weekly Data'!$A$2:$A$49,A13),0)</x:f>
        <x:v>0.9547664056170673</x:v>
      </x:c>
      <x:c r="D13" s="437" t="n">
        <x:f>SUMIFS('Weekly Data'!$E$2:$E$49,'Weekly Data'!$A$2:$A$49,A13)</x:f>
        <x:v>7406</x:v>
      </x:c>
      <x:c r="E13" s="394"/>
      <x:c r="F13" s="394"/>
      <x:c r="G13" s="394"/>
      <x:c r="H13" s="394"/>
      <x:c r="I13" s="394"/>
      <x:c r="J13" s="394"/>
      <x:c r="K13" s="394"/>
      <x:c r="L13" s="394"/>
      <x:c r="M13" s="394"/>
      <x:c r="N13" s="394"/>
      <x:c r="O13" s="394"/>
    </x:row>
    <x:row r="14">
      <x:c r="A14" s="435" t="str">
        <x:v>2026-06-15</x:v>
      </x:c>
      <x:c r="B14" s="436" t="n">
        <x:f>IFERROR(SUMIFS('Weekly Data'!$F$2:$F$49,'Weekly Data'!$A$2:$A$49,A14)/SUMIFS('Weekly Data'!$E$2:$E$49,'Weekly Data'!$A$2:$A$49,A14),0)</x:f>
        <x:v>0.9319917743830788</x:v>
      </x:c>
      <x:c r="C14" s="436" t="n">
        <x:f>IFERROR(SUMIFS('Weekly Data'!$H$2:$H$49,'Weekly Data'!$A$2:$A$49,A14)/SUMIFS('Weekly Data'!$E$2:$E$49,'Weekly Data'!$A$2:$A$49,A14),0)</x:f>
        <x:v>0.9435957696827262</x:v>
      </x:c>
      <x:c r="D14" s="437" t="n">
        <x:f>SUMIFS('Weekly Data'!$E$2:$E$49,'Weekly Data'!$A$2:$A$49,A14)</x:f>
        <x:v>6808</x:v>
      </x:c>
      <x:c r="E14" s="394"/>
      <x:c r="F14" s="394"/>
      <x:c r="G14" s="394"/>
      <x:c r="H14" s="394"/>
      <x:c r="I14" s="394"/>
      <x:c r="J14" s="394"/>
      <x:c r="K14" s="394"/>
      <x:c r="L14" s="394"/>
      <x:c r="M14" s="394"/>
      <x:c r="N14" s="394"/>
      <x:c r="O14" s="394"/>
    </x:row>
    <x:row r="15">
      <x:c r="A15" s="435" t="str">
        <x:v>2026-06-22</x:v>
      </x:c>
      <x:c r="B15" s="436" t="n">
        <x:f>IFERROR(SUMIFS('Weekly Data'!$F$2:$F$49,'Weekly Data'!$A$2:$A$49,A15)/SUMIFS('Weekly Data'!$E$2:$E$49,'Weekly Data'!$A$2:$A$49,A15),0)</x:f>
        <x:v>0.9371653987038603</x:v>
      </x:c>
      <x:c r="C15" s="436" t="n">
        <x:f>IFERROR(SUMIFS('Weekly Data'!$H$2:$H$49,'Weekly Data'!$A$2:$A$49,A15)/SUMIFS('Weekly Data'!$E$2:$E$49,'Weekly Data'!$A$2:$A$49,A15),0)</x:f>
        <x:v>0.9498450267681037</x:v>
      </x:c>
      <x:c r="D15" s="437" t="n">
        <x:f>SUMIFS('Weekly Data'!$E$2:$E$49,'Weekly Data'!$A$2:$A$49,A15)</x:f>
        <x:v>7098</x:v>
      </x:c>
      <x:c r="E15" s="394"/>
      <x:c r="F15" s="394"/>
      <x:c r="G15" s="394"/>
      <x:c r="H15" s="394"/>
      <x:c r="I15" s="394"/>
      <x:c r="J15" s="394"/>
      <x:c r="K15" s="394"/>
      <x:c r="L15" s="394"/>
      <x:c r="M15" s="394"/>
      <x:c r="N15" s="394"/>
      <x:c r="O15" s="394"/>
    </x:row>
    <x:row r="16">
      <x:c r="A16" s="435" t="str">
        <x:v>2026-06-29</x:v>
      </x:c>
      <x:c r="B16" s="436" t="n">
        <x:f>IFERROR(SUMIFS('Weekly Data'!$F$2:$F$49,'Weekly Data'!$A$2:$A$49,A16)/SUMIFS('Weekly Data'!$E$2:$E$49,'Weekly Data'!$A$2:$A$49,A16),0)</x:f>
        <x:v>0.9313904861474125</x:v>
      </x:c>
      <x:c r="C16" s="436" t="n">
        <x:f>IFERROR(SUMIFS('Weekly Data'!$H$2:$H$49,'Weekly Data'!$A$2:$A$49,A16)/SUMIFS('Weekly Data'!$E$2:$E$49,'Weekly Data'!$A$2:$A$49,A16),0)</x:f>
        <x:v>0.948379508625196</x:v>
      </x:c>
      <x:c r="D16" s="437" t="n">
        <x:f>SUMIFS('Weekly Data'!$E$2:$E$49,'Weekly Data'!$A$2:$A$49,A16)</x:f>
        <x:v>7652</x:v>
      </x:c>
      <x:c r="E16" s="394"/>
      <x:c r="F16" s="394"/>
      <x:c r="G16" s="394"/>
      <x:c r="H16" s="394"/>
      <x:c r="I16" s="394"/>
      <x:c r="J16" s="394"/>
      <x:c r="K16" s="394"/>
      <x:c r="L16" s="394"/>
      <x:c r="M16" s="394"/>
      <x:c r="N16" s="394"/>
      <x:c r="O16" s="394"/>
    </x:row>
    <x:row r="17">
      <x:c r="A17" s="435" t="str">
        <x:v>2026-07-06</x:v>
      </x:c>
      <x:c r="B17" s="436" t="n">
        <x:f>IFERROR(SUMIFS('Weekly Data'!$F$2:$F$49,'Weekly Data'!$A$2:$A$49,A17)/SUMIFS('Weekly Data'!$E$2:$E$49,'Weekly Data'!$A$2:$A$49,A17),0)</x:f>
        <x:v>0.9411681914144968</x:v>
      </x:c>
      <x:c r="C17" s="436" t="n">
        <x:f>IFERROR(SUMIFS('Weekly Data'!$H$2:$H$49,'Weekly Data'!$A$2:$A$49,A17)/SUMIFS('Weekly Data'!$E$2:$E$49,'Weekly Data'!$A$2:$A$49,A17),0)</x:f>
        <x:v>0.954679802955665</x:v>
      </x:c>
      <x:c r="D17" s="437" t="n">
        <x:f>SUMIFS('Weekly Data'!$E$2:$E$49,'Weekly Data'!$A$2:$A$49,A17)</x:f>
        <x:v>7105</x:v>
      </x:c>
      <x:c r="E17" s="394"/>
      <x:c r="F17" s="394"/>
      <x:c r="G17" s="394"/>
      <x:c r="H17" s="394"/>
      <x:c r="I17" s="394"/>
      <x:c r="J17" s="394"/>
      <x:c r="K17" s="394"/>
      <x:c r="L17" s="394"/>
      <x:c r="M17" s="394"/>
      <x:c r="N17" s="394"/>
      <x:c r="O17" s="394"/>
    </x:row>
    <x:row r="18">
      <x:c r="A18" s="435" t="str">
        <x:v>2026-07-13</x:v>
      </x:c>
      <x:c r="B18" s="436" t="n">
        <x:f>IFERROR(SUMIFS('Weekly Data'!$F$2:$F$49,'Weekly Data'!$A$2:$A$49,A18)/SUMIFS('Weekly Data'!$E$2:$E$49,'Weekly Data'!$A$2:$A$49,A18),0)</x:f>
        <x:v>0.9416766307958018</x:v>
      </x:c>
      <x:c r="C18" s="436" t="n">
        <x:f>IFERROR(SUMIFS('Weekly Data'!$H$2:$H$49,'Weekly Data'!$A$2:$A$49,A18)/SUMIFS('Weekly Data'!$E$2:$E$49,'Weekly Data'!$A$2:$A$49,A18),0)</x:f>
        <x:v>0.9525707453168593</x:v>
      </x:c>
      <x:c r="D18" s="437" t="n">
        <x:f>SUMIFS('Weekly Data'!$E$2:$E$49,'Weekly Data'!$A$2:$A$49,A18)</x:f>
        <x:v>7527</x:v>
      </x:c>
      <x:c r="E18" s="394"/>
      <x:c r="F18" s="394"/>
      <x:c r="G18" s="394"/>
      <x:c r="H18" s="394"/>
      <x:c r="I18" s="394"/>
      <x:c r="J18" s="394"/>
      <x:c r="K18" s="394"/>
      <x:c r="L18" s="394"/>
      <x:c r="M18" s="394"/>
      <x:c r="N18" s="394"/>
      <x:c r="O18" s="394"/>
    </x:row>
    <x:row r="19">
      <x:c r="A19" s="435" t="str">
        <x:v>2026-07-20</x:v>
      </x:c>
      <x:c r="B19" s="436" t="n">
        <x:f>IFERROR(SUMIFS('Weekly Data'!$F$2:$F$49,'Weekly Data'!$A$2:$A$49,A19)/SUMIFS('Weekly Data'!$E$2:$E$49,'Weekly Data'!$A$2:$A$49,A19),0)</x:f>
        <x:v>0.9428174703357738</x:v>
      </x:c>
      <x:c r="C19" s="436" t="n">
        <x:f>IFERROR(SUMIFS('Weekly Data'!$H$2:$H$49,'Weekly Data'!$A$2:$A$49,A19)/SUMIFS('Weekly Data'!$E$2:$E$49,'Weekly Data'!$A$2:$A$49,A19),0)</x:f>
        <x:v>0.9541782378187327</x:v>
      </x:c>
      <x:c r="D19" s="437" t="n">
        <x:f>SUMIFS('Weekly Data'!$E$2:$E$49,'Weekly Data'!$A$2:$A$49,A19)</x:f>
        <x:v>7922</x:v>
      </x:c>
      <x:c r="E19" s="394"/>
      <x:c r="F19" s="394"/>
      <x:c r="G19" s="394"/>
      <x:c r="H19" s="394"/>
      <x:c r="I19" s="394"/>
      <x:c r="J19" s="394"/>
      <x:c r="K19" s="394"/>
      <x:c r="L19" s="394"/>
      <x:c r="M19" s="394"/>
      <x:c r="N19" s="394"/>
      <x:c r="O19" s="394"/>
    </x:row>
    <x:row r="20">
      <x:c r="A20" s="435" t="str">
        <x:v>2026-07-27</x:v>
      </x:c>
      <x:c r="B20" s="436" t="n">
        <x:f>IFERROR(SUMIFS('Weekly Data'!$F$2:$F$49,'Weekly Data'!$A$2:$A$49,A20)/SUMIFS('Weekly Data'!$E$2:$E$49,'Weekly Data'!$A$2:$A$49,A20),0)</x:f>
        <x:v>0.9374228077398106</x:v>
      </x:c>
      <x:c r="C20" s="436" t="n">
        <x:f>IFERROR(SUMIFS('Weekly Data'!$H$2:$H$49,'Weekly Data'!$A$2:$A$49,A20)/SUMIFS('Weekly Data'!$E$2:$E$49,'Weekly Data'!$A$2:$A$49,A20),0)</x:f>
        <x:v>0.9549883353917936</x:v>
      </x:c>
      <x:c r="D20" s="437" t="n">
        <x:f>SUMIFS('Weekly Data'!$E$2:$E$49,'Weekly Data'!$A$2:$A$49,A20)</x:f>
        <x:v>7287</x:v>
      </x:c>
      <x:c r="E20" s="394"/>
      <x:c r="F20" s="394"/>
      <x:c r="G20" s="394"/>
      <x:c r="H20" s="394"/>
      <x:c r="I20" s="394"/>
      <x:c r="J20" s="394"/>
      <x:c r="K20" s="394"/>
      <x:c r="L20" s="394"/>
      <x:c r="M20" s="394"/>
      <x:c r="N20" s="394"/>
      <x:c r="O20" s="394"/>
    </x:row>
    <x:row r="21">
      <x:c r="A21" s="435" t="str">
        <x:v>2026-08-03</x:v>
      </x:c>
      <x:c r="B21" s="436" t="n">
        <x:f>IFERROR(SUMIFS('Weekly Data'!$F$2:$F$49,'Weekly Data'!$A$2:$A$49,A21)/SUMIFS('Weekly Data'!$E$2:$E$49,'Weekly Data'!$A$2:$A$49,A21),0)</x:f>
        <x:v>0.9373403254000269</x:v>
      </x:c>
      <x:c r="C21" s="436" t="n">
        <x:f>IFERROR(SUMIFS('Weekly Data'!$H$2:$H$49,'Weekly Data'!$A$2:$A$49,A21)/SUMIFS('Weekly Data'!$E$2:$E$49,'Weekly Data'!$A$2:$A$49,A21),0)</x:f>
        <x:v>0.9502487562189055</x:v>
      </x:c>
      <x:c r="D21" s="437" t="n">
        <x:f>SUMIFS('Weekly Data'!$E$2:$E$49,'Weekly Data'!$A$2:$A$49,A21)</x:f>
        <x:v>7437</x:v>
      </x:c>
      <x:c r="E21" s="394"/>
      <x:c r="F21" s="394"/>
      <x:c r="G21" s="394"/>
      <x:c r="H21" s="394"/>
      <x:c r="I21" s="394"/>
      <x:c r="J21" s="394"/>
      <x:c r="K21" s="394"/>
      <x:c r="L21" s="394"/>
      <x:c r="M21" s="394"/>
      <x:c r="N21" s="394"/>
      <x:c r="O21" s="394"/>
    </x:row>
    <x:row r="22">
      <x:c r="A22" s="394"/>
      <x:c r="B22" s="394"/>
      <x:c r="C22" s="394"/>
      <x:c r="D22" s="394"/>
      <x:c r="E22" s="394"/>
      <x:c r="F22" s="394"/>
      <x:c r="G22" s="394"/>
      <x:c r="H22" s="394"/>
      <x:c r="I22" s="394"/>
      <x:c r="J22" s="394"/>
      <x:c r="K22" s="394"/>
      <x:c r="L22" s="394"/>
      <x:c r="M22" s="394"/>
      <x:c r="N22" s="394"/>
      <x:c r="O22" s="394"/>
    </x:row>
    <x:row r="23">
      <x:c r="A23" s="394"/>
      <x:c r="B23" s="394"/>
      <x:c r="C23" s="394"/>
      <x:c r="D23" s="394"/>
      <x:c r="E23" s="394"/>
      <x:c r="F23" s="394"/>
      <x:c r="G23" s="394"/>
      <x:c r="H23" s="394"/>
      <x:c r="I23" s="394"/>
      <x:c r="J23" s="394"/>
      <x:c r="K23" s="394"/>
      <x:c r="L23" s="394"/>
      <x:c r="M23" s="394"/>
      <x:c r="N23" s="394"/>
      <x:c r="O23" s="394"/>
    </x:row>
    <x:row r="24">
      <x:c r="A24" s="394"/>
      <x:c r="B24" s="394"/>
      <x:c r="C24" s="394"/>
      <x:c r="D24" s="394"/>
      <x:c r="E24" s="394"/>
      <x:c r="F24" s="394"/>
      <x:c r="G24" s="394"/>
      <x:c r="H24" s="394"/>
      <x:c r="I24" s="394"/>
      <x:c r="J24" s="394"/>
      <x:c r="K24" s="394"/>
      <x:c r="L24" s="394"/>
      <x:c r="M24" s="394"/>
      <x:c r="N24" s="394"/>
      <x:c r="O24" s="394"/>
    </x:row>
    <x:row r="25">
      <x:c r="A25" s="438" t="str">
        <x:v>Team</x:v>
      </x:c>
      <x:c r="B25" s="438" t="str">
        <x:v>Tasks</x:v>
      </x:c>
      <x:c r="C25" s="438" t="str">
        <x:v>First-Pass Quality</x:v>
      </x:c>
      <x:c r="D25" s="438" t="str">
        <x:v>SLA Attainment</x:v>
      </x:c>
      <x:c r="E25" s="438" t="str">
        <x:v>Tasks/Hour</x:v>
      </x:c>
      <x:c r="F25" s="394"/>
      <x:c r="G25" s="394"/>
      <x:c r="H25" s="394"/>
      <x:c r="I25" s="394"/>
      <x:c r="J25" s="394"/>
      <x:c r="K25" s="394"/>
      <x:c r="L25" s="394"/>
      <x:c r="M25" s="394"/>
      <x:c r="N25" s="394"/>
      <x:c r="O25" s="394"/>
    </x:row>
    <x:row r="26">
      <x:c r="A26" s="432" t="str">
        <x:v>US English</x:v>
      </x:c>
      <x:c r="B26" s="434" t="n">
        <x:f>SUMIF('Weekly Data'!$B$2:$B$49,A26,'Weekly Data'!$E$2:$E$49)</x:f>
        <x:v>34370</x:v>
      </x:c>
      <x:c r="C26" s="433" t="n">
        <x:f>IFERROR(SUMIF('Weekly Data'!$B$2:$B$49,A26,'Weekly Data'!$F$2:$F$49)/B26,0)</x:f>
        <x:v>0.9480651731160896</x:v>
      </x:c>
      <x:c r="D26" s="433" t="n">
        <x:f>IFERROR(SUMIF('Weekly Data'!$B$2:$B$49,A26,'Weekly Data'!$H$2:$H$49)/B26,0)</x:f>
        <x:v>0.9619144602851324</x:v>
      </x:c>
      <x:c r="E26" s="439" t="n">
        <x:f>IFERROR(B26/SUMIF('Weekly Data'!$B$2:$B$49,A26,'Weekly Data'!$D$2:$D$49),0)</x:f>
        <x:v>8.513747832548923</x:v>
      </x:c>
      <x:c r="F26" s="394"/>
      <x:c r="G26" s="394"/>
      <x:c r="H26" s="394"/>
      <x:c r="I26" s="394"/>
      <x:c r="J26" s="394"/>
      <x:c r="K26" s="394"/>
      <x:c r="L26" s="394"/>
      <x:c r="M26" s="394"/>
      <x:c r="N26" s="394"/>
      <x:c r="O26" s="394"/>
    </x:row>
    <x:row r="27">
      <x:c r="A27" s="435" t="str">
        <x:v>Spanish</x:v>
      </x:c>
      <x:c r="B27" s="437" t="n">
        <x:f>SUMIF('Weekly Data'!$B$2:$B$49,A27,'Weekly Data'!$E$2:$E$49)</x:f>
        <x:v>24023</x:v>
      </x:c>
      <x:c r="C27" s="436" t="n">
        <x:f>IFERROR(SUMIF('Weekly Data'!$B$2:$B$49,A27,'Weekly Data'!$F$2:$F$49)/B27,0)</x:f>
        <x:v>0.9324813720184822</x:v>
      </x:c>
      <x:c r="D27" s="436" t="n">
        <x:f>IFERROR(SUMIF('Weekly Data'!$B$2:$B$49,A27,'Weekly Data'!$H$2:$H$49)/B27,0)</x:f>
        <x:v>0.9485493069142072</x:v>
      </x:c>
      <x:c r="E27" s="440" t="n">
        <x:f>IFERROR(B27/SUMIF('Weekly Data'!$B$2:$B$49,A27,'Weekly Data'!$D$2:$D$49),0)</x:f>
        <x:v>7.675079872204472</x:v>
      </x:c>
      <x:c r="F27" s="394"/>
      <x:c r="G27" s="394"/>
      <x:c r="H27" s="394"/>
      <x:c r="I27" s="394"/>
      <x:c r="J27" s="394"/>
      <x:c r="K27" s="394"/>
      <x:c r="L27" s="394"/>
      <x:c r="M27" s="394"/>
      <x:c r="N27" s="394"/>
      <x:c r="O27" s="394"/>
    </x:row>
    <x:row r="28">
      <x:c r="A28" s="435" t="str">
        <x:v>Technical</x:v>
      </x:c>
      <x:c r="B28" s="437" t="n">
        <x:f>SUMIF('Weekly Data'!$B$2:$B$49,A28,'Weekly Data'!$E$2:$E$49)</x:f>
        <x:v>15408</x:v>
      </x:c>
      <x:c r="C28" s="436" t="n">
        <x:f>IFERROR(SUMIF('Weekly Data'!$B$2:$B$49,A28,'Weekly Data'!$F$2:$F$49)/B28,0)</x:f>
        <x:v>0.9580737279335411</x:v>
      </x:c>
      <x:c r="D28" s="436" t="n">
        <x:f>IFERROR(SUMIF('Weekly Data'!$B$2:$B$49,A28,'Weekly Data'!$H$2:$H$49)/B28,0)</x:f>
        <x:v>0.9567757009345794</x:v>
      </x:c>
      <x:c r="E28" s="440" t="n">
        <x:f>IFERROR(B28/SUMIF('Weekly Data'!$B$2:$B$49,A28,'Weekly Data'!$D$2:$D$49),0)</x:f>
        <x:v>6.60437205315045</x:v>
      </x:c>
      <x:c r="F28" s="394"/>
      <x:c r="G28" s="394"/>
      <x:c r="H28" s="394"/>
      <x:c r="I28" s="394"/>
      <x:c r="J28" s="394"/>
      <x:c r="K28" s="394"/>
      <x:c r="L28" s="394"/>
      <x:c r="M28" s="394"/>
      <x:c r="N28" s="394"/>
      <x:c r="O28" s="394"/>
    </x:row>
    <x:row r="29">
      <x:c r="A29" s="435" t="str">
        <x:v>General QA</x:v>
      </x:c>
      <x:c r="B29" s="437" t="n">
        <x:f>SUMIF('Weekly Data'!$B$2:$B$49,A29,'Weekly Data'!$E$2:$E$49)</x:f>
        <x:v>14537</x:v>
      </x:c>
      <x:c r="C29" s="436" t="n">
        <x:f>IFERROR(SUMIF('Weekly Data'!$B$2:$B$49,A29,'Weekly Data'!$F$2:$F$49)/B29,0)</x:f>
        <x:v>0.9074086812960033</x:v>
      </x:c>
      <x:c r="D29" s="436" t="n">
        <x:f>IFERROR(SUMIF('Weekly Data'!$B$2:$B$49,A29,'Weekly Data'!$H$2:$H$49)/B29,0)</x:f>
        <x:v>0.9257756070716103</x:v>
      </x:c>
      <x:c r="E29" s="440" t="n">
        <x:f>IFERROR(B29/SUMIF('Weekly Data'!$B$2:$B$49,A29,'Weekly Data'!$D$2:$D$49),0)</x:f>
        <x:v>6.902659069325736</x:v>
      </x:c>
      <x:c r="F29" s="394"/>
      <x:c r="G29" s="394"/>
      <x:c r="H29" s="394"/>
      <x:c r="I29" s="394"/>
      <x:c r="J29" s="394"/>
      <x:c r="K29" s="394"/>
      <x:c r="L29" s="394"/>
      <x:c r="M29" s="394"/>
      <x:c r="N29" s="394"/>
      <x:c r="O29" s="394"/>
    </x:row>
    <x:row r="30">
      <x:c r="A30" s="394"/>
      <x:c r="B30" s="394"/>
      <x:c r="C30" s="394"/>
      <x:c r="D30" s="394"/>
      <x:c r="E30" s="394"/>
      <x:c r="F30" s="394"/>
      <x:c r="G30" s="394"/>
      <x:c r="H30" s="394"/>
      <x:c r="I30" s="394"/>
      <x:c r="J30" s="394"/>
      <x:c r="K30" s="394"/>
      <x:c r="L30" s="394"/>
      <x:c r="M30" s="394"/>
      <x:c r="N30" s="394"/>
      <x:c r="O30" s="394"/>
    </x:row>
    <x:row r="31">
      <x:c r="A31" s="394"/>
      <x:c r="B31" s="394"/>
      <x:c r="C31" s="394"/>
      <x:c r="D31" s="394"/>
      <x:c r="E31" s="394"/>
      <x:c r="F31" s="394"/>
      <x:c r="G31" s="394"/>
      <x:c r="H31" s="394"/>
      <x:c r="I31" s="394"/>
      <x:c r="J31" s="394"/>
      <x:c r="K31" s="394"/>
      <x:c r="L31" s="394"/>
      <x:c r="M31" s="394"/>
      <x:c r="N31" s="394"/>
      <x:c r="O31" s="394"/>
    </x:row>
    <x:row r="32">
      <x:c r="A32" s="441" t="str">
        <x:v>Exception Triggers</x:v>
      </x:c>
      <x:c r="B32" s="441"/>
      <x:c r="C32" s="441"/>
      <x:c r="D32" s="441"/>
      <x:c r="E32" s="441"/>
      <x:c r="F32" s="394"/>
      <x:c r="G32" s="394"/>
      <x:c r="H32" s="394"/>
      <x:c r="I32" s="394"/>
      <x:c r="J32" s="394"/>
      <x:c r="K32" s="394"/>
      <x:c r="L32" s="394"/>
      <x:c r="M32" s="394"/>
      <x:c r="N32" s="394"/>
      <x:c r="O32" s="394"/>
    </x:row>
    <x:row r="33" ht="28" customHeight="1">
      <x:c r="A33" s="442" t="str">
        <x:v>Quality</x:v>
      </x:c>
      <x:c r="B33" s="442" t="str">
        <x:v>&lt; 90%</x:v>
      </x:c>
      <x:c r="C33" s="442" t="str">
        <x:v>Calibrate</x:v>
      </x:c>
      <x:c r="D33" s="442" t="str">
        <x:v>Quality Lead</x:v>
      </x:c>
      <x:c r="E33" s="442" t="str">
        <x:v>Review blinded sample</x:v>
      </x:c>
      <x:c r="F33" s="394"/>
      <x:c r="G33" s="394"/>
      <x:c r="H33" s="394"/>
      <x:c r="I33" s="394"/>
      <x:c r="J33" s="394"/>
      <x:c r="K33" s="394"/>
      <x:c r="L33" s="394"/>
      <x:c r="M33" s="394"/>
      <x:c r="N33" s="394"/>
      <x:c r="O33" s="394"/>
    </x:row>
    <x:row r="34" ht="28" customHeight="1">
      <x:c r="A34" s="443" t="str">
        <x:v>SLA</x:v>
      </x:c>
      <x:c r="B34" s="443" t="str">
        <x:v>&lt; 92%</x:v>
      </x:c>
      <x:c r="C34" s="443" t="str">
        <x:v>Investigate</x:v>
      </x:c>
      <x:c r="D34" s="443" t="str">
        <x:v>Operations Lead</x:v>
      </x:c>
      <x:c r="E34" s="443" t="str">
        <x:v>Check capacity and blockers</x:v>
      </x:c>
      <x:c r="F34" s="394"/>
      <x:c r="G34" s="394"/>
      <x:c r="H34" s="394"/>
      <x:c r="I34" s="394"/>
      <x:c r="J34" s="394"/>
      <x:c r="K34" s="394"/>
      <x:c r="L34" s="394"/>
      <x:c r="M34" s="394"/>
      <x:c r="N34" s="394"/>
      <x:c r="O34" s="394"/>
    </x:row>
    <x:row r="35" ht="28" customHeight="1">
      <x:c r="A35" s="443" t="str">
        <x:v>Utilization</x:v>
      </x:c>
      <x:c r="B35" s="443" t="str">
        <x:v>&gt; 105%</x:v>
      </x:c>
      <x:c r="C35" s="443" t="str">
        <x:v>Reforecast</x:v>
      </x:c>
      <x:c r="D35" s="443" t="str">
        <x:v>Staffing Lead</x:v>
      </x:c>
      <x:c r="E35" s="443" t="str">
        <x:v>Add eligible capacity</x:v>
      </x:c>
      <x:c r="F35" s="394"/>
      <x:c r="G35" s="394"/>
      <x:c r="H35" s="394"/>
      <x:c r="I35" s="394"/>
      <x:c r="J35" s="394"/>
      <x:c r="K35" s="394"/>
      <x:c r="L35" s="394"/>
      <x:c r="M35" s="394"/>
      <x:c r="N35" s="394"/>
      <x:c r="O35" s="394"/>
    </x:row>
    <x:row r="36" ht="28" customHeight="1">
      <x:c r="A36" s="443" t="str">
        <x:v>Privacy/Security</x:v>
      </x:c>
      <x:c r="B36" s="443" t="str">
        <x:v>Any hard fail</x:v>
      </x:c>
      <x:c r="C36" s="443" t="str">
        <x:v>Stop</x:v>
      </x:c>
      <x:c r="D36" s="443" t="str">
        <x:v>Risk Owner</x:v>
      </x:c>
      <x:c r="E36" s="443" t="str">
        <x:v>Contain and escalate</x:v>
      </x:c>
      <x:c r="F36" s="394"/>
      <x:c r="G36" s="394"/>
      <x:c r="H36" s="394"/>
      <x:c r="I36" s="394"/>
      <x:c r="J36" s="394"/>
      <x:c r="K36" s="394"/>
      <x:c r="L36" s="394"/>
      <x:c r="M36" s="394"/>
      <x:c r="N36" s="394"/>
      <x:c r="O36" s="394"/>
    </x:row>
    <x:row r="37">
      <x:c r="A37" s="394"/>
      <x:c r="B37" s="394"/>
      <x:c r="C37" s="394"/>
      <x:c r="D37" s="394"/>
      <x:c r="E37" s="394"/>
      <x:c r="F37" s="394"/>
      <x:c r="G37" s="394"/>
      <x:c r="H37" s="394"/>
      <x:c r="I37" s="394"/>
      <x:c r="J37" s="394"/>
      <x:c r="K37" s="394"/>
      <x:c r="L37" s="394"/>
      <x:c r="M37" s="394"/>
      <x:c r="N37" s="394"/>
      <x:c r="O37" s="394"/>
    </x:row>
    <x:row r="38">
      <x:c r="A38" s="394"/>
      <x:c r="B38" s="394"/>
      <x:c r="C38" s="394"/>
      <x:c r="D38" s="394"/>
      <x:c r="E38" s="394"/>
      <x:c r="F38" s="394"/>
      <x:c r="G38" s="394"/>
      <x:c r="H38" s="394"/>
      <x:c r="I38" s="394"/>
      <x:c r="J38" s="394"/>
      <x:c r="K38" s="394"/>
      <x:c r="L38" s="394"/>
      <x:c r="M38" s="394"/>
      <x:c r="N38" s="394"/>
      <x:c r="O38" s="394"/>
    </x:row>
    <x:row r="39">
      <x:c r="A39" s="394"/>
      <x:c r="B39" s="394"/>
      <x:c r="C39" s="394"/>
      <x:c r="D39" s="394"/>
      <x:c r="E39" s="394"/>
      <x:c r="F39" s="394"/>
      <x:c r="G39" s="394"/>
      <x:c r="H39" s="394"/>
      <x:c r="I39" s="394"/>
      <x:c r="J39" s="394"/>
      <x:c r="K39" s="394"/>
      <x:c r="L39" s="394"/>
      <x:c r="M39" s="394"/>
      <x:c r="N39" s="394"/>
      <x:c r="O39" s="394"/>
    </x:row>
  </x:sheetData>
  <x:mergeCells>
    <x:mergeCell ref="A1:O2"/>
    <x:mergeCell ref="A3:O3"/>
    <x:mergeCell ref="A5:C5"/>
    <x:mergeCell ref="A6:C7"/>
    <x:mergeCell ref="E5:G5"/>
    <x:mergeCell ref="E6:G7"/>
    <x:mergeCell ref="I5:K5"/>
    <x:mergeCell ref="I6:K7"/>
    <x:mergeCell ref="M5:O5"/>
    <x:mergeCell ref="M6:O7"/>
    <x:mergeCell ref="A32:E32"/>
  </x:mergeCells>
  <x:conditionalFormatting sqref="C26:C29">
    <x:cfRule type="cellIs" dxfId="4" priority="1" operator="lessThan">
      <x:formula>0.9</x:formula>
    </x:cfRule>
  </x:conditionalFormatting>
  <x:pageMargins left="0.7" right="0.7" top="0.75" bottom="0.75" header="0.3" footer="0.3"/>
  <x:drawing xmlns:r="http://schemas.openxmlformats.org/officeDocument/2006/relationships" r:id="Raf7524c0210d486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31" hidden="0" customWidth="1"/>
  </x:cols>
  <x:sheetData>
    <x:row r="1">
      <x:c r="A1" s="498" t="str">
        <x:v>KPI DEFINITIONS AND DECISION RULES</x:v>
      </x:c>
      <x:c r="B1" s="498"/>
      <x:c r="C1" s="498"/>
      <x:c r="D1" s="498"/>
      <x:c r="E1" s="498"/>
      <x:c r="F1" s="498"/>
    </x:row>
    <x:row r="2">
      <x:c r="A2" s="498"/>
      <x:c r="B2" s="498"/>
      <x:c r="C2" s="498"/>
      <x:c r="D2" s="498"/>
      <x:c r="E2" s="498"/>
      <x:c r="F2" s="498"/>
    </x:row>
    <x:row r="4" ht="32" customHeight="1">
      <x:c r="A4" s="502" t="str">
        <x:v>KPI</x:v>
      </x:c>
      <x:c r="B4" s="502" t="str">
        <x:v>Numerator</x:v>
      </x:c>
      <x:c r="C4" s="502" t="str">
        <x:v>Denominator</x:v>
      </x:c>
      <x:c r="D4" s="502" t="str">
        <x:v>Format</x:v>
      </x:c>
      <x:c r="E4" s="502" t="str">
        <x:v>Trigger</x:v>
      </x:c>
      <x:c r="F4" s="502" t="str">
        <x:v>Management Action</x:v>
      </x:c>
    </x:row>
    <x:row r="5" ht="32" customHeight="1">
      <x:c r="A5" s="510" t="str">
        <x:v>First-Pass Quality</x:v>
      </x:c>
      <x:c r="B5" s="510" t="str">
        <x:v>Accepted first pass</x:v>
      </x:c>
      <x:c r="C5" s="510" t="str">
        <x:v>Tasks completed</x:v>
      </x:c>
      <x:c r="D5" s="510" t="str">
        <x:v>Percent</x:v>
      </x:c>
      <x:c r="E5" s="510" t="str">
        <x:v>Below 90%</x:v>
      </x:c>
      <x:c r="F5" s="510" t="str">
        <x:v>Calibrate and classify root cause</x:v>
      </x:c>
    </x:row>
    <x:row r="6" ht="32" customHeight="1">
      <x:c r="A6" s="511" t="str">
        <x:v>Rework Rate</x:v>
      </x:c>
      <x:c r="B6" s="511" t="str">
        <x:v>Reworked tasks</x:v>
      </x:c>
      <x:c r="C6" s="511" t="str">
        <x:v>Tasks completed</x:v>
      </x:c>
      <x:c r="D6" s="511" t="str">
        <x:v>Percent</x:v>
      </x:c>
      <x:c r="E6" s="511" t="str">
        <x:v>Rising with AHT</x:v>
      </x:c>
      <x:c r="F6" s="511" t="str">
        <x:v>Review guidelines and workload</x:v>
      </x:c>
    </x:row>
    <x:row r="7" ht="32" customHeight="1">
      <x:c r="A7" s="511" t="str">
        <x:v>SLA Attainment</x:v>
      </x:c>
      <x:c r="B7" s="511" t="str">
        <x:v>Tasks within SLA</x:v>
      </x:c>
      <x:c r="C7" s="511" t="str">
        <x:v>Tasks completed</x:v>
      </x:c>
      <x:c r="D7" s="511" t="str">
        <x:v>Percent</x:v>
      </x:c>
      <x:c r="E7" s="511" t="str">
        <x:v>Below 92%</x:v>
      </x:c>
      <x:c r="F7" s="511" t="str">
        <x:v>Check capacity, tools and queue age</x:v>
      </x:c>
    </x:row>
    <x:row r="8" ht="32" customHeight="1">
      <x:c r="A8" s="511" t="str">
        <x:v>Productivity</x:v>
      </x:c>
      <x:c r="B8" s="511" t="str">
        <x:v>Tasks completed</x:v>
      </x:c>
      <x:c r="C8" s="511" t="str">
        <x:v>Hours worked</x:v>
      </x:c>
      <x:c r="D8" s="511" t="str">
        <x:v>Tasks/hour</x:v>
      </x:c>
      <x:c r="E8" s="511" t="str">
        <x:v>Material trend change</x:v>
      </x:c>
      <x:c r="F8" s="511" t="str">
        <x:v>Investigate mix before performance action</x:v>
      </x:c>
    </x:row>
    <x:row r="9" ht="32" customHeight="1">
      <x:c r="A9" s="511" t="str">
        <x:v>Capacity Utilization</x:v>
      </x:c>
      <x:c r="B9" s="511" t="str">
        <x:v>Tasks completed</x:v>
      </x:c>
      <x:c r="C9" s="511" t="str">
        <x:v>Capacity target</x:v>
      </x:c>
      <x:c r="D9" s="511" t="str">
        <x:v>Percent</x:v>
      </x:c>
      <x:c r="E9" s="511" t="str">
        <x:v>Above 105% twice</x:v>
      </x:c>
      <x:c r="F9" s="511" t="str">
        <x:v>Reforecast and add eligible capacity</x:v>
      </x:c>
    </x:row>
    <x:row r="12" ht="40" customHeight="1">
      <x:c r="A12" s="516" t="str">
        <x:v>Interpretation guardrail: use team and week-level patterns for investigation. Do not infer individual performance from this synthetic dataset.</x:v>
      </x:c>
      <x:c r="B12" s="516"/>
      <x:c r="C12" s="516"/>
      <x:c r="D12" s="516"/>
      <x:c r="E12" s="516"/>
      <x:c r="F12" s="516"/>
    </x:row>
  </x:sheetData>
  <x:mergeCells>
    <x:mergeCell ref="A1:F2"/>
    <x:mergeCell ref="A12:F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</x:cols>
  <x:sheetData>
    <x:row r="1">
      <x:c r="A1" s="498" t="str">
        <x:v>NOTES, PROVENANCE AND SOURCES</x:v>
      </x:c>
      <x:c r="B1" s="498"/>
      <x:c r="C1" s="498"/>
      <x:c r="D1" s="498"/>
    </x:row>
    <x:row r="2">
      <x:c r="A2" s="498"/>
      <x:c r="B2" s="498"/>
      <x:c r="C2" s="498"/>
      <x:c r="D2" s="498"/>
    </x:row>
    <x:row r="4" ht="28" customHeight="1">
      <x:c r="A4" s="526" t="str">
        <x:v>Dataset status</x:v>
      </x:c>
      <x:c r="B4" s="527" t="str">
        <x:v>Synthetic demonstration data; no worker or client records</x:v>
      </x:c>
    </x:row>
    <x:row r="5" ht="28" customHeight="1">
      <x:c r="A5" s="528" t="str">
        <x:v>Period</x:v>
      </x:c>
      <x:c r="B5" s="529" t="str">
        <x:v>Twelve weeks from 2026-05-18</x:v>
      </x:c>
    </x:row>
    <x:row r="6" ht="28" customHeight="1">
      <x:c r="A6" s="528" t="str">
        <x:v>Teams</x:v>
      </x:c>
      <x:c r="B6" s="529" t="str">
        <x:v>US English, Spanish, Technical and General QA</x:v>
      </x:c>
    </x:row>
    <x:row r="7" ht="28" customHeight="1">
      <x:c r="A7" s="528" t="str">
        <x:v>Rows</x:v>
      </x:c>
      <x:c r="B7" s="529" t="str">
        <x:v>48 team-week observations</x:v>
      </x:c>
    </x:row>
    <x:row r="8" ht="28" customHeight="1">
      <x:c r="A8" s="528" t="str">
        <x:v>Reproducibility</x:v>
      </x:c>
      <x:c r="B8" s="529" t="str">
        <x:v>Generated with fixed seed 20260810</x:v>
      </x:c>
    </x:row>
    <x:row r="9" ht="28" customHeight="1">
      <x:c r="A9" s="528" t="str">
        <x:v>Purpose</x:v>
      </x:c>
      <x:c r="B9" s="529" t="str">
        <x:v>Demonstrate remote AI-operations analysis and decision controls</x:v>
      </x:c>
    </x:row>
    <x:row r="10" ht="28" customHeight="1">
      <x:c r="A10" s="528" t="str">
        <x:v>Limitation</x:v>
      </x:c>
      <x:c r="B10" s="529" t="str">
        <x:v>Not a forecast or claim about an actual RWS project</x:v>
      </x:c>
    </x:row>
    <x:row r="13" ht="42" customHeight="1">
      <x:c r="A13" s="534" t="str">
        <x:v>Source</x:v>
      </x:c>
      <x:c r="B13" s="534" t="str">
        <x:v>URL</x:v>
      </x:c>
    </x:row>
    <x:row r="14" ht="42" customHeight="1">
      <x:c r="A14" s="538" t="str">
        <x:v>RWS AI training data services</x:v>
      </x:c>
      <x:c r="B14" s="538" t="str">
        <x:v>https://www.rws.com/artificial-intelligence/train-ai-data-services/</x:v>
      </x:c>
    </x:row>
    <x:row r="15" ht="42" customHeight="1">
      <x:c r="A15" s="539" t="str">
        <x:v>RWS human-in-the-loop validation</x:v>
      </x:c>
      <x:c r="B15" s="539" t="str">
        <x:v>https://www.rws.com/artificial-intelligence/train-ai-data-services/human-in-the-loop-data-validation/</x:v>
      </x:c>
    </x:row>
    <x:row r="16" ht="42" customHeight="1">
      <x:c r="A16" s="539" t="str">
        <x:v>NIST AI Risk Management Framework</x:v>
      </x:c>
      <x:c r="B16" s="539" t="str">
        <x:v>https://www.nist.gov/itl/ai-risk-management-framework</x:v>
      </x:c>
    </x:row>
    <x:row r="17" ht="42" customHeight="1">
      <x:c r="A17" s="539" t="str">
        <x:v>GitHub README guidance</x:v>
      </x:c>
      <x:c r="B17" s="539" t="str">
        <x:v>https://docs.github.com/en/repositories/managing-your-repositorys-settings-and-features/customizing-your-repository/about-readmes</x:v>
      </x:c>
    </x:row>
  </x:sheetData>
  <x:mergeCells>
    <x:mergeCell ref="A1:D2"/>
  </x:mergeCells>
  <x:pageMargins left="0.7" right="0.7" top="0.75" bottom="0.75" header="0.3" footer="0.3"/>
</x:worksheet>
</file>